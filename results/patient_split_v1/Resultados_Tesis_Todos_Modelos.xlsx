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e1f0b48ee4b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e3652caa7da4ddc"/>
    <x:sheet xmlns:r="http://schemas.openxmlformats.org/officeDocument/2006/relationships" name="Comparaciones" sheetId="2" r:id="R0e3bd85d9c6b44ec"/>
    <x:sheet xmlns:r="http://schemas.openxmlformats.org/officeDocument/2006/relationships" name="Por semilla" sheetId="3" r:id="Rc46ade802e0744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"/>
    <x:numFmt numFmtId="202" formatCode="+0.00;-0.00;0.00"/>
  </x:numFmts>
  <x:fonts count="5">
    <x:font>
      <x:sz val="11"/>
      <x:name val="Carlito"/>
    </x:font>
    <x:font>
      <x:sz val="10"/>
      <x:color rgb="FF202020"/>
      <x:name val="Arial"/>
    </x:font>
    <x:font>
      <x:b/>
      <x:sz val="14"/>
      <x:color rgb="FF1F4E78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F1F6F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69b3e66c64633" /><Relationship Type="http://schemas.openxmlformats.org/officeDocument/2006/relationships/theme" Target="/xl/theme/theme1.xml" Id="R157ae4edc578404f" /><Relationship Type="http://schemas.openxmlformats.org/officeDocument/2006/relationships/sharedStrings" Target="/xl/sharedStrings.xml" Id="Rdc6713ee11774453" /><Relationship Type="http://schemas.openxmlformats.org/officeDocument/2006/relationships/worksheet" Target="/xl/worksheets/sheet1.xml" Id="R1e3652caa7da4ddc" /><Relationship Type="http://schemas.openxmlformats.org/officeDocument/2006/relationships/worksheet" Target="/xl/worksheets/sheet2.xml" Id="R0e3bd85d9c6b44ec" /><Relationship Type="http://schemas.openxmlformats.org/officeDocument/2006/relationships/worksheet" Target="/xl/worksheets/sheet3.xml" Id="Rc46ade802e0744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5" hidden="0" customWidth="1"/>
    <x:col min="3" max="3" width="13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15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29" customHeight="1">
      <x:c r="A1" s="3" t="str">
        <x:v>Clasificación de lesiones cutáneas: todos los modelos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3" customHeight="1">
      <x:c r="A2" s="4" t="str">
        <x:v>Media ± DE poblacional de cinco particiones por paciente. AUC/OvR y F1 macro en multiclase.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32" customHeight="1">
      <x:c r="A4" s="7" t="str">
        <x:v>Modelo</x:v>
      </x:c>
      <x:c r="B4" s="7" t="str">
        <x:v>Tarea</x:v>
      </x:c>
      <x:c r="C4" s="7" t="str">
        <x:v>Repeticiones</x:v>
      </x:c>
      <x:c r="D4" s="7" t="str">
        <x:v>AUC / OvR</x:v>
      </x:c>
      <x:c r="E4" s="7" t="str">
        <x:v>Accuracy</x:v>
      </x:c>
      <x:c r="F4" s="7" t="str">
        <x:v>BACC</x:v>
      </x:c>
      <x:c r="G4" s="7" t="str">
        <x:v>Recall</x:v>
      </x:c>
      <x:c r="H4" s="7" t="str">
        <x:v>F1</x:v>
      </x:c>
      <x:c r="I4" s="7" t="str">
        <x:v>Estado</x:v>
      </x:c>
      <x:c r="J4" s="7" t="str">
        <x:v>AP</x:v>
      </x:c>
      <x:c r="K4" s="7" t="str">
        <x:v>Brier</x:v>
      </x:c>
      <x:c r="L4" s="7" t="str">
        <x:v>ECE</x:v>
      </x:c>
    </x:row>
    <x:row r="5" ht="23" customHeight="1">
      <x:c r="A5" s="2" t="str">
        <x:v>Metadata MLP</x:v>
      </x:c>
      <x:c r="B5" s="2" t="str">
        <x:v>Binaria</x:v>
      </x:c>
      <x:c r="C5" s="9" t="n">
        <x:v>5</x:v>
      </x:c>
      <x:c r="D5" s="9" t="str">
        <x:f>TEXT(AVERAGE('Por semilla'!D5:D9),"0.0000")&amp;" ± "&amp;TEXT(STDEV.P('Por semilla'!D5:D9),"0.0000")</x:f>
        <x:v>0.9410 ± 0.0157</x:v>
      </x:c>
      <x:c r="E5" s="9" t="str">
        <x:f>TEXT(AVERAGE('Por semilla'!E5:E9),"0.0000")&amp;" ± "&amp;TEXT(STDEV.P('Por semilla'!E5:E9),"0.0000")</x:f>
        <x:v>0.8670 ± 0.0250</x:v>
      </x:c>
      <x:c r="F5" s="9" t="str">
        <x:f>TEXT(AVERAGE('Por semilla'!F5:F9),"0.0000")&amp;" ± "&amp;TEXT(STDEV.P('Por semilla'!F5:F9),"0.0000")</x:f>
        <x:v>0.8692 ± 0.0246</x:v>
      </x:c>
      <x:c r="G5" s="9" t="str">
        <x:f>TEXT(AVERAGE('Por semilla'!G5:G9),"0.0000")&amp;" ± "&amp;TEXT(STDEV.P('Por semilla'!G5:G9),"0.0000")</x:f>
        <x:v>0.9098 ± 0.0228</x:v>
      </x:c>
      <x:c r="H5" s="9" t="str">
        <x:f>TEXT(AVERAGE('Por semilla'!H5:H9),"0.0000")&amp;" ± "&amp;TEXT(STDEV.P('Por semilla'!H5:H9),"0.0000")</x:f>
        <x:v>0.8661 ± 0.0244</x:v>
      </x:c>
      <x:c r="I5" s="11" t="str">
        <x:v>Completado</x:v>
      </x:c>
      <x:c r="J5" s="9" t="str">
        <x:f>TEXT(AVERAGE('Por semilla'!J5:J9),"0.0000")&amp;" ± "&amp;TEXT(STDEV.P('Por semilla'!J5:J9),"0.0000")</x:f>
        <x:v>0.9155 ± 0.0262</x:v>
      </x:c>
      <x:c r="K5" s="9" t="str">
        <x:f>TEXT(AVERAGE('Por semilla'!K5:K9),"0.0000")&amp;" ± "&amp;TEXT(STDEV.P('Por semilla'!K5:K9),"0.0000")</x:f>
        <x:v>0.0970 ± 0.0175</x:v>
      </x:c>
      <x:c r="L5" s="9" t="str">
        <x:f>TEXT(AVERAGE('Por semilla'!L5:L9),"0.0000")&amp;" ± "&amp;TEXT(STDEV.P('Por semilla'!L5:L9),"0.0000")</x:f>
        <x:v>0.0641 ± 0.0175</x:v>
      </x:c>
    </x:row>
    <x:row r="6" ht="23" customHeight="1">
      <x:c r="A6" s="8" t="str">
        <x:v>Metadata logística</x:v>
      </x:c>
      <x:c r="B6" s="8" t="str">
        <x:v>Binaria</x:v>
      </x:c>
      <x:c r="C6" s="10" t="n">
        <x:v>5</x:v>
      </x:c>
      <x:c r="D6" s="10" t="str">
        <x:f>TEXT(AVERAGE('Por semilla'!D10:D14),"0.0000")&amp;" ± "&amp;TEXT(STDEV.P('Por semilla'!D10:D14),"0.0000")</x:f>
        <x:v>0.9367 ± 0.0202</x:v>
      </x:c>
      <x:c r="E6" s="10" t="str">
        <x:f>TEXT(AVERAGE('Por semilla'!E10:E14),"0.0000")&amp;" ± "&amp;TEXT(STDEV.P('Por semilla'!E10:E14),"0.0000")</x:f>
        <x:v>0.8687 ± 0.0256</x:v>
      </x:c>
      <x:c r="F6" s="10" t="str">
        <x:f>TEXT(AVERAGE('Por semilla'!F10:F14),"0.0000")&amp;" ± "&amp;TEXT(STDEV.P('Por semilla'!F10:F14),"0.0000")</x:f>
        <x:v>0.8695 ± 0.0248</x:v>
      </x:c>
      <x:c r="G6" s="10" t="str">
        <x:f>TEXT(AVERAGE('Por semilla'!G10:G14),"0.0000")&amp;" ± "&amp;TEXT(STDEV.P('Por semilla'!G10:G14),"0.0000")</x:f>
        <x:v>0.8840 ± 0.0180</x:v>
      </x:c>
      <x:c r="H6" s="10" t="str">
        <x:f>TEXT(AVERAGE('Por semilla'!H10:H14),"0.0000")&amp;" ± "&amp;TEXT(STDEV.P('Por semilla'!H10:H14),"0.0000")</x:f>
        <x:v>0.8644 ± 0.0245</x:v>
      </x:c>
      <x:c r="I6" s="12" t="str">
        <x:v>Completado</x:v>
      </x:c>
      <x:c r="J6" s="10" t="str">
        <x:f>TEXT(AVERAGE('Por semilla'!J10:J14),"0.0000")&amp;" ± "&amp;TEXT(STDEV.P('Por semilla'!J10:J14),"0.0000")</x:f>
        <x:v>0.9194 ± 0.0280</x:v>
      </x:c>
      <x:c r="K6" s="10" t="str">
        <x:f>TEXT(AVERAGE('Por semilla'!K10:K14),"0.0000")&amp;" ± "&amp;TEXT(STDEV.P('Por semilla'!K10:K14),"0.0000")</x:f>
        <x:v>0.0980 ± 0.0157</x:v>
      </x:c>
      <x:c r="L6" s="10" t="str">
        <x:f>TEXT(AVERAGE('Por semilla'!L10:L14),"0.0000")&amp;" ± "&amp;TEXT(STDEV.P('Por semilla'!L10:L14),"0.0000")</x:f>
        <x:v>0.0626 ± 0.0152</x:v>
      </x:c>
    </x:row>
    <x:row r="7" ht="23" customHeight="1">
      <x:c r="A7" s="2" t="str">
        <x:v>Metadata boosting</x:v>
      </x:c>
      <x:c r="B7" s="2" t="str">
        <x:v>Binaria</x:v>
      </x:c>
      <x:c r="C7" s="9" t="n">
        <x:v>5</x:v>
      </x:c>
      <x:c r="D7" s="9" t="str">
        <x:f>TEXT(AVERAGE('Por semilla'!D15:D19),"0.0000")&amp;" ± "&amp;TEXT(STDEV.P('Por semilla'!D15:D19),"0.0000")</x:f>
        <x:v>0.9509 ± 0.0140</x:v>
      </x:c>
      <x:c r="E7" s="9" t="str">
        <x:f>TEXT(AVERAGE('Por semilla'!E15:E19),"0.0000")&amp;" ± "&amp;TEXT(STDEV.P('Por semilla'!E15:E19),"0.0000")</x:f>
        <x:v>0.8774 ± 0.0197</x:v>
      </x:c>
      <x:c r="F7" s="9" t="str">
        <x:f>TEXT(AVERAGE('Por semilla'!F15:F19),"0.0000")&amp;" ± "&amp;TEXT(STDEV.P('Por semilla'!F15:F19),"0.0000")</x:f>
        <x:v>0.8790 ± 0.0201</x:v>
      </x:c>
      <x:c r="G7" s="9" t="str">
        <x:f>TEXT(AVERAGE('Por semilla'!G15:G19),"0.0000")&amp;" ± "&amp;TEXT(STDEV.P('Por semilla'!G15:G19),"0.0000")</x:f>
        <x:v>0.9045 ± 0.0575</x:v>
      </x:c>
      <x:c r="H7" s="9" t="str">
        <x:f>TEXT(AVERAGE('Por semilla'!H15:H19),"0.0000")&amp;" ± "&amp;TEXT(STDEV.P('Por semilla'!H15:H19),"0.0000")</x:f>
        <x:v>0.8741 ± 0.0219</x:v>
      </x:c>
      <x:c r="I7" s="11" t="str">
        <x:v>Completado</x:v>
      </x:c>
      <x:c r="J7" s="9" t="str">
        <x:f>TEXT(AVERAGE('Por semilla'!J15:J19),"0.0000")&amp;" ± "&amp;TEXT(STDEV.P('Por semilla'!J15:J19),"0.0000")</x:f>
        <x:v>0.9292 ± 0.0218</x:v>
      </x:c>
      <x:c r="K7" s="9" t="str">
        <x:f>TEXT(AVERAGE('Por semilla'!K15:K19),"0.0000")&amp;" ± "&amp;TEXT(STDEV.P('Por semilla'!K15:K19),"0.0000")</x:f>
        <x:v>0.0853 ± 0.0131</x:v>
      </x:c>
      <x:c r="L7" s="9" t="str">
        <x:f>TEXT(AVERAGE('Por semilla'!L15:L19),"0.0000")&amp;" ± "&amp;TEXT(STDEV.P('Por semilla'!L15:L19),"0.0000")</x:f>
        <x:v>0.0605 ± 0.0088</x:v>
      </x:c>
    </x:row>
    <x:row r="8" ht="23" customHeight="1">
      <x:c r="A8" s="8" t="str">
        <x:v>Metadata elegida con validación</x:v>
      </x:c>
      <x:c r="B8" s="8" t="str">
        <x:v>Binaria</x:v>
      </x:c>
      <x:c r="C8" s="10" t="n">
        <x:v>5</x:v>
      </x:c>
      <x:c r="D8" s="10" t="str">
        <x:f>TEXT(AVERAGE('Por semilla'!D20:D24),"0.0000")&amp;" ± "&amp;TEXT(STDEV.P('Por semilla'!D20:D24),"0.0000")</x:f>
        <x:v>0.9425 ± 0.0160</x:v>
      </x:c>
      <x:c r="E8" s="10" t="str">
        <x:f>TEXT(AVERAGE('Por semilla'!E20:E24),"0.0000")&amp;" ± "&amp;TEXT(STDEV.P('Por semilla'!E20:E24),"0.0000")</x:f>
        <x:v>0.8678 ± 0.0198</x:v>
      </x:c>
      <x:c r="F8" s="10" t="str">
        <x:f>TEXT(AVERAGE('Por semilla'!F20:F24),"0.0000")&amp;" ± "&amp;TEXT(STDEV.P('Por semilla'!F20:F24),"0.0000")</x:f>
        <x:v>0.8699 ± 0.0186</x:v>
      </x:c>
      <x:c r="G8" s="10" t="str">
        <x:f>TEXT(AVERAGE('Por semilla'!G20:G24),"0.0000")&amp;" ± "&amp;TEXT(STDEV.P('Por semilla'!G20:G24),"0.0000")</x:f>
        <x:v>0.9062 ± 0.0292</x:v>
      </x:c>
      <x:c r="H8" s="10" t="str">
        <x:f>TEXT(AVERAGE('Por semilla'!H20:H24),"0.0000")&amp;" ± "&amp;TEXT(STDEV.P('Por semilla'!H20:H24),"0.0000")</x:f>
        <x:v>0.8665 ± 0.0176</x:v>
      </x:c>
      <x:c r="I8" s="12" t="str">
        <x:v>Derivado</x:v>
      </x:c>
      <x:c r="J8" s="10" t="str">
        <x:f>TEXT(AVERAGE('Por semilla'!J20:J24),"0.0000")&amp;" ± "&amp;TEXT(STDEV.P('Por semilla'!J20:J24),"0.0000")</x:f>
        <x:v>0.9186 ± 0.0218</x:v>
      </x:c>
      <x:c r="K8" s="10" t="str">
        <x:f>TEXT(AVERAGE('Por semilla'!K20:K24),"0.0000")&amp;" ± "&amp;TEXT(STDEV.P('Por semilla'!K20:K24),"0.0000")</x:f>
        <x:v>0.0945 ± 0.0182</x:v>
      </x:c>
      <x:c r="L8" s="10" t="str">
        <x:f>TEXT(AVERAGE('Por semilla'!L20:L24),"0.0000")&amp;" ± "&amp;TEXT(STDEV.P('Por semilla'!L20:L24),"0.0000")</x:f>
        <x:v>0.0698 ± 0.0144</x:v>
      </x:c>
    </x:row>
    <x:row r="9" ht="23" customHeight="1">
      <x:c r="A9" s="2" t="str">
        <x:v>Prior empírico de train</x:v>
      </x:c>
      <x:c r="B9" s="2" t="str">
        <x:v>Binaria</x:v>
      </x:c>
      <x:c r="C9" s="9" t="n">
        <x:v>5</x:v>
      </x:c>
      <x:c r="D9" s="9" t="str">
        <x:f>TEXT(AVERAGE('Por semilla'!D25:D29),"0.0000")&amp;" ± "&amp;TEXT(STDEV.P('Por semilla'!D25:D29),"0.0000")</x:f>
        <x:v>0.5000 ± 0.0000</x:v>
      </x:c>
      <x:c r="E9" s="9" t="str">
        <x:f>TEXT(AVERAGE('Por semilla'!E25:E29),"0.0000")&amp;" ± "&amp;TEXT(STDEV.P('Por semilla'!E25:E29),"0.0000")</x:f>
        <x:v>0.5278 ± 0.0021</x:v>
      </x:c>
      <x:c r="F9" s="9" t="str">
        <x:f>TEXT(AVERAGE('Por semilla'!F25:F29),"0.0000")&amp;" ± "&amp;TEXT(STDEV.P('Por semilla'!F25:F29),"0.0000")</x:f>
        <x:v>0.5000 ± 0.0000</x:v>
      </x:c>
      <x:c r="G9" s="9" t="str">
        <x:f>TEXT(AVERAGE('Por semilla'!G25:G29),"0.0000")&amp;" ± "&amp;TEXT(STDEV.P('Por semilla'!G25:G29),"0.0000")</x:f>
        <x:v>0.0000 ± 0.0000</x:v>
      </x:c>
      <x:c r="H9" s="9" t="str">
        <x:f>TEXT(AVERAGE('Por semilla'!H25:H29),"0.0000")&amp;" ± "&amp;TEXT(STDEV.P('Por semilla'!H25:H29),"0.0000")</x:f>
        <x:v>0.0000 ± 0.0000</x:v>
      </x:c>
      <x:c r="I9" s="11" t="str">
        <x:v>Completado</x:v>
      </x:c>
      <x:c r="J9" s="9" t="str">
        <x:f>TEXT(AVERAGE('Por semilla'!J25:J29),"0.0000")&amp;" ± "&amp;TEXT(STDEV.P('Por semilla'!J25:J29),"0.0000")</x:f>
        <x:v>0.4722 ± 0.0021</x:v>
      </x:c>
      <x:c r="K9" s="9" t="str">
        <x:f>TEXT(AVERAGE('Por semilla'!K25:K29),"0.0000")&amp;" ± "&amp;TEXT(STDEV.P('Por semilla'!K25:K29),"0.0000")</x:f>
        <x:v>0.2492 ± 0.0001</x:v>
      </x:c>
      <x:c r="L9" s="9" t="str">
        <x:f>TEXT(AVERAGE('Por semilla'!L25:L29),"0.0000")&amp;" ± "&amp;TEXT(STDEV.P('Por semilla'!L25:L29),"0.0000")</x:f>
        <x:v>0.0021 ± 0.0025</x:v>
      </x:c>
    </x:row>
    <x:row r="10" ht="23" customHeight="1">
      <x:c r="A10" s="8" t="str">
        <x:v>Prior ponderado en multiclase</x:v>
      </x:c>
      <x:c r="B10" s="8" t="str">
        <x:v>Binaria</x:v>
      </x:c>
      <x:c r="C10" s="10" t="n">
        <x:v>5</x:v>
      </x:c>
      <x:c r="D10" s="10" t="str">
        <x:f>TEXT(AVERAGE('Por semilla'!D30:D34),"0.0000")&amp;" ± "&amp;TEXT(STDEV.P('Por semilla'!D30:D34),"0.0000")</x:f>
        <x:v>0.5000 ± 0.0000</x:v>
      </x:c>
      <x:c r="E10" s="10" t="str">
        <x:f>TEXT(AVERAGE('Por semilla'!E30:E34),"0.0000")&amp;" ± "&amp;TEXT(STDEV.P('Por semilla'!E30:E34),"0.0000")</x:f>
        <x:v>0.5278 ± 0.0021</x:v>
      </x:c>
      <x:c r="F10" s="10" t="str">
        <x:f>TEXT(AVERAGE('Por semilla'!F30:F34),"0.0000")&amp;" ± "&amp;TEXT(STDEV.P('Por semilla'!F30:F34),"0.0000")</x:f>
        <x:v>0.5000 ± 0.0000</x:v>
      </x:c>
      <x:c r="G10" s="10" t="str">
        <x:f>TEXT(AVERAGE('Por semilla'!G30:G34),"0.0000")&amp;" ± "&amp;TEXT(STDEV.P('Por semilla'!G30:G34),"0.0000")</x:f>
        <x:v>0.0000 ± 0.0000</x:v>
      </x:c>
      <x:c r="H10" s="10" t="str">
        <x:f>TEXT(AVERAGE('Por semilla'!H30:H34),"0.0000")&amp;" ± "&amp;TEXT(STDEV.P('Por semilla'!H30:H34),"0.0000")</x:f>
        <x:v>0.0000 ± 0.0000</x:v>
      </x:c>
      <x:c r="I10" s="12" t="str">
        <x:v>Completado</x:v>
      </x:c>
      <x:c r="J10" s="10" t="str">
        <x:f>TEXT(AVERAGE('Por semilla'!J30:J34),"0.0000")&amp;" ± "&amp;TEXT(STDEV.P('Por semilla'!J30:J34),"0.0000")</x:f>
        <x:v>0.4722 ± 0.0021</x:v>
      </x:c>
      <x:c r="K10" s="10" t="str">
        <x:f>TEXT(AVERAGE('Por semilla'!K30:K34),"0.0000")&amp;" ± "&amp;TEXT(STDEV.P('Por semilla'!K30:K34),"0.0000")</x:f>
        <x:v>0.2492 ± 0.0001</x:v>
      </x:c>
      <x:c r="L10" s="10" t="str">
        <x:f>TEXT(AVERAGE('Por semilla'!L30:L34),"0.0000")&amp;" ± "&amp;TEXT(STDEV.P('Por semilla'!L30:L34),"0.0000")</x:f>
        <x:v>0.0021 ± 0.0025</x:v>
      </x:c>
    </x:row>
    <x:row r="11" ht="23" customHeight="1">
      <x:c r="A11" s="2" t="str">
        <x:v>CLIP</x:v>
      </x:c>
      <x:c r="B11" s="2" t="str">
        <x:v>Binaria</x:v>
      </x:c>
      <x:c r="C11" s="9" t="n">
        <x:v>5</x:v>
      </x:c>
      <x:c r="D11" s="9" t="str">
        <x:f>TEXT(AVERAGE('Por semilla'!D35:D39),"0.0000")&amp;" ± "&amp;TEXT(STDEV.P('Por semilla'!D35:D39),"0.0000")</x:f>
        <x:v>0.9023 ± 0.0196</x:v>
      </x:c>
      <x:c r="E11" s="9" t="str">
        <x:f>TEXT(AVERAGE('Por semilla'!E35:E39),"0.0000")&amp;" ± "&amp;TEXT(STDEV.P('Por semilla'!E35:E39),"0.0000")</x:f>
        <x:v>0.8270 ± 0.0144</x:v>
      </x:c>
      <x:c r="F11" s="9" t="str">
        <x:f>TEXT(AVERAGE('Por semilla'!F35:F39),"0.0000")&amp;" ± "&amp;TEXT(STDEV.P('Por semilla'!F35:F39),"0.0000")</x:f>
        <x:v>0.8283 ± 0.0137</x:v>
      </x:c>
      <x:c r="G11" s="9" t="str">
        <x:f>TEXT(AVERAGE('Por semilla'!G35:G39),"0.0000")&amp;" ± "&amp;TEXT(STDEV.P('Por semilla'!G35:G39),"0.0000")</x:f>
        <x:v>0.8526 ± 0.0330</x:v>
      </x:c>
      <x:c r="H11" s="9" t="str">
        <x:f>TEXT(AVERAGE('Por semilla'!H35:H39),"0.0000")&amp;" ± "&amp;TEXT(STDEV.P('Por semilla'!H35:H39),"0.0000")</x:f>
        <x:v>0.8231 ± 0.0138</x:v>
      </x:c>
      <x:c r="I11" s="11" t="str">
        <x:v>Completado</x:v>
      </x:c>
      <x:c r="J11" s="9" t="str">
        <x:f>TEXT(AVERAGE('Por semilla'!J35:J39),"0.0000")&amp;" ± "&amp;TEXT(STDEV.P('Por semilla'!J35:J39),"0.0000")</x:f>
        <x:v>0.8741 ± 0.0187</x:v>
      </x:c>
      <x:c r="K11" s="9" t="str">
        <x:f>TEXT(AVERAGE('Por semilla'!K35:K39),"0.0000")&amp;" ± "&amp;TEXT(STDEV.P('Por semilla'!K35:K39),"0.0000")</x:f>
        <x:v>0.1274 ± 0.0162</x:v>
      </x:c>
      <x:c r="L11" s="9" t="str">
        <x:f>TEXT(AVERAGE('Por semilla'!L35:L39),"0.0000")&amp;" ± "&amp;TEXT(STDEV.P('Por semilla'!L35:L39),"0.0000")</x:f>
        <x:v>0.0753 ± 0.0170</x:v>
      </x:c>
    </x:row>
    <x:row r="12" ht="23" customHeight="1">
      <x:c r="A12" s="8" t="str">
        <x:v>DINOv2</x:v>
      </x:c>
      <x:c r="B12" s="8" t="str">
        <x:v>Binaria</x:v>
      </x:c>
      <x:c r="C12" s="10" t="n">
        <x:v>5</x:v>
      </x:c>
      <x:c r="D12" s="10" t="str">
        <x:f>TEXT(AVERAGE('Por semilla'!D40:D44),"0.0000")&amp;" ± "&amp;TEXT(STDEV.P('Por semilla'!D40:D44),"0.0000")</x:f>
        <x:v>0.8818 ± 0.0194</x:v>
      </x:c>
      <x:c r="E12" s="10" t="str">
        <x:f>TEXT(AVERAGE('Por semilla'!E40:E44),"0.0000")&amp;" ± "&amp;TEXT(STDEV.P('Por semilla'!E40:E44),"0.0000")</x:f>
        <x:v>0.7904 ± 0.0104</x:v>
      </x:c>
      <x:c r="F12" s="10" t="str">
        <x:f>TEXT(AVERAGE('Por semilla'!F40:F44),"0.0000")&amp;" ± "&amp;TEXT(STDEV.P('Por semilla'!F40:F44),"0.0000")</x:f>
        <x:v>0.7921 ± 0.0108</x:v>
      </x:c>
      <x:c r="G12" s="10" t="str">
        <x:f>TEXT(AVERAGE('Por semilla'!G40:G44),"0.0000")&amp;" ± "&amp;TEXT(STDEV.P('Por semilla'!G40:G44),"0.0000")</x:f>
        <x:v>0.8213 ± 0.0509</x:v>
      </x:c>
      <x:c r="H12" s="10" t="str">
        <x:f>TEXT(AVERAGE('Por semilla'!H40:H44),"0.0000")&amp;" ± "&amp;TEXT(STDEV.P('Por semilla'!H40:H44),"0.0000")</x:f>
        <x:v>0.7868 ± 0.0145</x:v>
      </x:c>
      <x:c r="I12" s="12" t="str">
        <x:v>Completado</x:v>
      </x:c>
      <x:c r="J12" s="10" t="str">
        <x:f>TEXT(AVERAGE('Por semilla'!J40:J44),"0.0000")&amp;" ± "&amp;TEXT(STDEV.P('Por semilla'!J40:J44),"0.0000")</x:f>
        <x:v>0.8573 ± 0.0354</x:v>
      </x:c>
      <x:c r="K12" s="10" t="str">
        <x:f>TEXT(AVERAGE('Por semilla'!K40:K44),"0.0000")&amp;" ± "&amp;TEXT(STDEV.P('Por semilla'!K40:K44),"0.0000")</x:f>
        <x:v>0.1494 ± 0.0119</x:v>
      </x:c>
      <x:c r="L12" s="10" t="str">
        <x:f>TEXT(AVERAGE('Por semilla'!L40:L44),"0.0000")&amp;" ± "&amp;TEXT(STDEV.P('Por semilla'!L40:L44),"0.0000")</x:f>
        <x:v>0.1063 ± 0.0107</x:v>
      </x:c>
    </x:row>
    <x:row r="13" ht="23" customHeight="1">
      <x:c r="A13" s="2" t="str">
        <x:v>ConvNeXt</x:v>
      </x:c>
      <x:c r="B13" s="2" t="str">
        <x:v>Binaria</x:v>
      </x:c>
      <x:c r="C13" s="9" t="n">
        <x:v>5</x:v>
      </x:c>
      <x:c r="D13" s="9" t="str">
        <x:f>TEXT(AVERAGE('Por semilla'!D45:D49),"0.0000")&amp;" ± "&amp;TEXT(STDEV.P('Por semilla'!D45:D49),"0.0000")</x:f>
        <x:v>0.8662 ± 0.0190</x:v>
      </x:c>
      <x:c r="E13" s="9" t="str">
        <x:f>TEXT(AVERAGE('Por semilla'!E45:E49),"0.0000")&amp;" ± "&amp;TEXT(STDEV.P('Por semilla'!E45:E49),"0.0000")</x:f>
        <x:v>0.7904 ± 0.0390</x:v>
      </x:c>
      <x:c r="F13" s="9" t="str">
        <x:f>TEXT(AVERAGE('Por semilla'!F45:F49),"0.0000")&amp;" ± "&amp;TEXT(STDEV.P('Por semilla'!F45:F49),"0.0000")</x:f>
        <x:v>0.7930 ± 0.0362</x:v>
      </x:c>
      <x:c r="G13" s="9" t="str">
        <x:f>TEXT(AVERAGE('Por semilla'!G45:G49),"0.0000")&amp;" ± "&amp;TEXT(STDEV.P('Por semilla'!G45:G49),"0.0000")</x:f>
        <x:v>0.8380 ± 0.0389</x:v>
      </x:c>
      <x:c r="H13" s="9" t="str">
        <x:f>TEXT(AVERAGE('Por semilla'!H45:H49),"0.0000")&amp;" ± "&amp;TEXT(STDEV.P('Por semilla'!H45:H49),"0.0000")</x:f>
        <x:v>0.7918 ± 0.0290</x:v>
      </x:c>
      <x:c r="I13" s="11" t="str">
        <x:v>Completado</x:v>
      </x:c>
      <x:c r="J13" s="9" t="str">
        <x:f>TEXT(AVERAGE('Por semilla'!J45:J49),"0.0000")&amp;" ± "&amp;TEXT(STDEV.P('Por semilla'!J45:J49),"0.0000")</x:f>
        <x:v>0.8314 ± 0.0304</x:v>
      </x:c>
      <x:c r="K13" s="9" t="str">
        <x:f>TEXT(AVERAGE('Por semilla'!K45:K49),"0.0000")&amp;" ± "&amp;TEXT(STDEV.P('Por semilla'!K45:K49),"0.0000")</x:f>
        <x:v>0.1543 ± 0.0151</x:v>
      </x:c>
      <x:c r="L13" s="9" t="str">
        <x:f>TEXT(AVERAGE('Por semilla'!L45:L49),"0.0000")&amp;" ± "&amp;TEXT(STDEV.P('Por semilla'!L45:L49),"0.0000")</x:f>
        <x:v>0.0938 ± 0.0090</x:v>
      </x:c>
    </x:row>
    <x:row r="14" ht="23" customHeight="1">
      <x:c r="A14" s="8" t="str">
        <x:v>CLIP + DINOv2</x:v>
      </x:c>
      <x:c r="B14" s="8" t="str">
        <x:v>Binaria</x:v>
      </x:c>
      <x:c r="C14" s="10" t="n">
        <x:v>5</x:v>
      </x:c>
      <x:c r="D14" s="10" t="str">
        <x:f>TEXT(AVERAGE('Por semilla'!D50:D54),"0.0000")&amp;" ± "&amp;TEXT(STDEV.P('Por semilla'!D50:D54),"0.0000")</x:f>
        <x:v>0.9046 ± 0.0201</x:v>
      </x:c>
      <x:c r="E14" s="10" t="str">
        <x:f>TEXT(AVERAGE('Por semilla'!E50:E54),"0.0000")&amp;" ± "&amp;TEXT(STDEV.P('Por semilla'!E50:E54),"0.0000")</x:f>
        <x:v>0.8113 ± 0.0221</x:v>
      </x:c>
      <x:c r="F14" s="10" t="str">
        <x:f>TEXT(AVERAGE('Por semilla'!F50:F54),"0.0000")&amp;" ± "&amp;TEXT(STDEV.P('Por semilla'!F50:F54),"0.0000")</x:f>
        <x:v>0.8110 ± 0.0237</x:v>
      </x:c>
      <x:c r="G14" s="10" t="str">
        <x:f>TEXT(AVERAGE('Por semilla'!G50:G54),"0.0000")&amp;" ± "&amp;TEXT(STDEV.P('Por semilla'!G50:G54),"0.0000")</x:f>
        <x:v>0.8065 ± 0.0898</x:v>
      </x:c>
      <x:c r="H14" s="10" t="str">
        <x:f>TEXT(AVERAGE('Por semilla'!H50:H54),"0.0000")&amp;" ± "&amp;TEXT(STDEV.P('Por semilla'!H50:H54),"0.0000")</x:f>
        <x:v>0.7996 ± 0.0321</x:v>
      </x:c>
      <x:c r="I14" s="12" t="str">
        <x:v>Completado</x:v>
      </x:c>
      <x:c r="J14" s="10" t="str">
        <x:f>TEXT(AVERAGE('Por semilla'!J50:J54),"0.0000")&amp;" ± "&amp;TEXT(STDEV.P('Por semilla'!J50:J54),"0.0000")</x:f>
        <x:v>0.8832 ± 0.0287</x:v>
      </x:c>
      <x:c r="K14" s="10" t="str">
        <x:f>TEXT(AVERAGE('Por semilla'!K50:K54),"0.0000")&amp;" ± "&amp;TEXT(STDEV.P('Por semilla'!K50:K54),"0.0000")</x:f>
        <x:v>0.1346 ± 0.0128</x:v>
      </x:c>
      <x:c r="L14" s="10" t="str">
        <x:f>TEXT(AVERAGE('Por semilla'!L50:L54),"0.0000")&amp;" ± "&amp;TEXT(STDEV.P('Por semilla'!L50:L54),"0.0000")</x:f>
        <x:v>0.0916 ± 0.0109</x:v>
      </x:c>
    </x:row>
    <x:row r="15" ht="23" customHeight="1">
      <x:c r="A15" s="2" t="str">
        <x:v>CLIP + metadata</x:v>
      </x:c>
      <x:c r="B15" s="2" t="str">
        <x:v>Binaria</x:v>
      </x:c>
      <x:c r="C15" s="9" t="n">
        <x:v>5</x:v>
      </x:c>
      <x:c r="D15" s="9" t="str">
        <x:f>TEXT(AVERAGE('Por semilla'!D55:D59),"0.0000")&amp;" ± "&amp;TEXT(STDEV.P('Por semilla'!D55:D59),"0.0000")</x:f>
        <x:v>0.9497 ± 0.0062</x:v>
      </x:c>
      <x:c r="E15" s="9" t="str">
        <x:f>TEXT(AVERAGE('Por semilla'!E55:E59),"0.0000")&amp;" ± "&amp;TEXT(STDEV.P('Por semilla'!E55:E59),"0.0000")</x:f>
        <x:v>0.8843 ± 0.0147</x:v>
      </x:c>
      <x:c r="F15" s="9" t="str">
        <x:f>TEXT(AVERAGE('Por semilla'!F55:F59),"0.0000")&amp;" ± "&amp;TEXT(STDEV.P('Por semilla'!F55:F59),"0.0000")</x:f>
        <x:v>0.8872 ± 0.0134</x:v>
      </x:c>
      <x:c r="G15" s="9" t="str">
        <x:f>TEXT(AVERAGE('Por semilla'!G55:G59),"0.0000")&amp;" ± "&amp;TEXT(STDEV.P('Por semilla'!G55:G59),"0.0000")</x:f>
        <x:v>0.9374 ± 0.0178</x:v>
      </x:c>
      <x:c r="H15" s="9" t="str">
        <x:f>TEXT(AVERAGE('Por semilla'!H55:H59),"0.0000")&amp;" ± "&amp;TEXT(STDEV.P('Por semilla'!H55:H59),"0.0000")</x:f>
        <x:v>0.8847 ± 0.0127</x:v>
      </x:c>
      <x:c r="I15" s="11" t="str">
        <x:v>Completado</x:v>
      </x:c>
      <x:c r="J15" s="9" t="str">
        <x:f>TEXT(AVERAGE('Por semilla'!J55:J59),"0.0000")&amp;" ± "&amp;TEXT(STDEV.P('Por semilla'!J55:J59),"0.0000")</x:f>
        <x:v>0.9290 ± 0.0172</x:v>
      </x:c>
      <x:c r="K15" s="9" t="str">
        <x:f>TEXT(AVERAGE('Por semilla'!K55:K59),"0.0000")&amp;" ± "&amp;TEXT(STDEV.P('Por semilla'!K55:K59),"0.0000")</x:f>
        <x:v>0.0910 ± 0.0105</x:v>
      </x:c>
      <x:c r="L15" s="9" t="str">
        <x:f>TEXT(AVERAGE('Por semilla'!L55:L59),"0.0000")&amp;" ± "&amp;TEXT(STDEV.P('Por semilla'!L55:L59),"0.0000")</x:f>
        <x:v>0.0687 ± 0.0216</x:v>
      </x:c>
    </x:row>
    <x:row r="16" ht="23" customHeight="1">
      <x:c r="A16" s="8" t="str">
        <x:v>DINOv2 + metadata</x:v>
      </x:c>
      <x:c r="B16" s="8" t="str">
        <x:v>Binaria</x:v>
      </x:c>
      <x:c r="C16" s="10" t="n">
        <x:v>5</x:v>
      </x:c>
      <x:c r="D16" s="10" t="str">
        <x:f>TEXT(AVERAGE('Por semilla'!D60:D64),"0.0000")&amp;" ± "&amp;TEXT(STDEV.P('Por semilla'!D60:D64),"0.0000")</x:f>
        <x:v>0.9473 ± 0.0144</x:v>
      </x:c>
      <x:c r="E16" s="10" t="str">
        <x:f>TEXT(AVERAGE('Por semilla'!E60:E64),"0.0000")&amp;" ± "&amp;TEXT(STDEV.P('Por semilla'!E60:E64),"0.0000")</x:f>
        <x:v>0.8739 ± 0.0305</x:v>
      </x:c>
      <x:c r="F16" s="10" t="str">
        <x:f>TEXT(AVERAGE('Por semilla'!F60:F64),"0.0000")&amp;" ± "&amp;TEXT(STDEV.P('Por semilla'!F60:F64),"0.0000")</x:f>
        <x:v>0.8753 ± 0.0303</x:v>
      </x:c>
      <x:c r="G16" s="10" t="str">
        <x:f>TEXT(AVERAGE('Por semilla'!G60:G64),"0.0000")&amp;" ± "&amp;TEXT(STDEV.P('Por semilla'!G60:G64),"0.0000")</x:f>
        <x:v>0.8987 ± 0.0313</x:v>
      </x:c>
      <x:c r="H16" s="10" t="str">
        <x:f>TEXT(AVERAGE('Por semilla'!H60:H64),"0.0000")&amp;" ± "&amp;TEXT(STDEV.P('Por semilla'!H60:H64),"0.0000")</x:f>
        <x:v>0.8707 ± 0.0310</x:v>
      </x:c>
      <x:c r="I16" s="12" t="str">
        <x:v>Completado</x:v>
      </x:c>
      <x:c r="J16" s="10" t="str">
        <x:f>TEXT(AVERAGE('Por semilla'!J60:J64),"0.0000")&amp;" ± "&amp;TEXT(STDEV.P('Por semilla'!J60:J64),"0.0000")</x:f>
        <x:v>0.9252 ± 0.0259</x:v>
      </x:c>
      <x:c r="K16" s="10" t="str">
        <x:f>TEXT(AVERAGE('Por semilla'!K60:K64),"0.0000")&amp;" ± "&amp;TEXT(STDEV.P('Por semilla'!K60:K64),"0.0000")</x:f>
        <x:v>0.0952 ± 0.0237</x:v>
      </x:c>
      <x:c r="L16" s="10" t="str">
        <x:f>TEXT(AVERAGE('Por semilla'!L60:L64),"0.0000")&amp;" ± "&amp;TEXT(STDEV.P('Por semilla'!L60:L64),"0.0000")</x:f>
        <x:v>0.0742 ± 0.0262</x:v>
      </x:c>
    </x:row>
    <x:row r="17" ht="23" customHeight="1">
      <x:c r="A17" s="2" t="str">
        <x:v>ConvNeXt + metadata</x:v>
      </x:c>
      <x:c r="B17" s="2" t="str">
        <x:v>Binaria</x:v>
      </x:c>
      <x:c r="C17" s="9" t="n">
        <x:v>5</x:v>
      </x:c>
      <x:c r="D17" s="9" t="str">
        <x:f>TEXT(AVERAGE('Por semilla'!D65:D69),"0.0000")&amp;" ± "&amp;TEXT(STDEV.P('Por semilla'!D65:D69),"0.0000")</x:f>
        <x:v>0.9451 ± 0.0130</x:v>
      </x:c>
      <x:c r="E17" s="9" t="str">
        <x:f>TEXT(AVERAGE('Por semilla'!E65:E69),"0.0000")&amp;" ± "&amp;TEXT(STDEV.P('Por semilla'!E65:E69),"0.0000")</x:f>
        <x:v>0.8730 ± 0.0219</x:v>
      </x:c>
      <x:c r="F17" s="9" t="str">
        <x:f>TEXT(AVERAGE('Por semilla'!F65:F69),"0.0000")&amp;" ± "&amp;TEXT(STDEV.P('Por semilla'!F65:F69),"0.0000")</x:f>
        <x:v>0.8750 ± 0.0216</x:v>
      </x:c>
      <x:c r="G17" s="9" t="str">
        <x:f>TEXT(AVERAGE('Por semilla'!G65:G69),"0.0000")&amp;" ± "&amp;TEXT(STDEV.P('Por semilla'!G65:G69),"0.0000")</x:f>
        <x:v>0.9080 ± 0.0342</x:v>
      </x:c>
      <x:c r="H17" s="9" t="str">
        <x:f>TEXT(AVERAGE('Por semilla'!H65:H69),"0.0000")&amp;" ± "&amp;TEXT(STDEV.P('Por semilla'!H65:H69),"0.0000")</x:f>
        <x:v>0.8710 ± 0.0218</x:v>
      </x:c>
      <x:c r="I17" s="11" t="str">
        <x:v>Completado</x:v>
      </x:c>
      <x:c r="J17" s="9" t="str">
        <x:f>TEXT(AVERAGE('Por semilla'!J65:J69),"0.0000")&amp;" ± "&amp;TEXT(STDEV.P('Por semilla'!J65:J69),"0.0000")</x:f>
        <x:v>0.9218 ± 0.0237</x:v>
      </x:c>
      <x:c r="K17" s="9" t="str">
        <x:f>TEXT(AVERAGE('Por semilla'!K65:K69),"0.0000")&amp;" ± "&amp;TEXT(STDEV.P('Por semilla'!K65:K69),"0.0000")</x:f>
        <x:v>0.1002 ± 0.0218</x:v>
      </x:c>
      <x:c r="L17" s="9" t="str">
        <x:f>TEXT(AVERAGE('Por semilla'!L65:L69),"0.0000")&amp;" ± "&amp;TEXT(STDEV.P('Por semilla'!L65:L69),"0.0000")</x:f>
        <x:v>0.0821 ± 0.0301</x:v>
      </x:c>
    </x:row>
    <x:row r="18" ht="23" customHeight="1">
      <x:c r="A18" s="8" t="str">
        <x:v>A: CLIP + DINOv2 + metadata</x:v>
      </x:c>
      <x:c r="B18" s="8" t="str">
        <x:v>Binaria</x:v>
      </x:c>
      <x:c r="C18" s="10" t="n">
        <x:v>5</x:v>
      </x:c>
      <x:c r="D18" s="10" t="str">
        <x:f>TEXT(AVERAGE('Por semilla'!D70:D74),"0.0000")&amp;" ± "&amp;TEXT(STDEV.P('Por semilla'!D70:D74),"0.0000")</x:f>
        <x:v>0.9506 ± 0.0144</x:v>
      </x:c>
      <x:c r="E18" s="10" t="str">
        <x:f>TEXT(AVERAGE('Por semilla'!E70:E74),"0.0000")&amp;" ± "&amp;TEXT(STDEV.P('Por semilla'!E70:E74),"0.0000")</x:f>
        <x:v>0.8809 ± 0.0238</x:v>
      </x:c>
      <x:c r="F18" s="10" t="str">
        <x:f>TEXT(AVERAGE('Por semilla'!F70:F74),"0.0000")&amp;" ± "&amp;TEXT(STDEV.P('Por semilla'!F70:F74),"0.0000")</x:f>
        <x:v>0.8828 ± 0.0226</x:v>
      </x:c>
      <x:c r="G18" s="10" t="str">
        <x:f>TEXT(AVERAGE('Por semilla'!G70:G74),"0.0000")&amp;" ± "&amp;TEXT(STDEV.P('Por semilla'!G70:G74),"0.0000")</x:f>
        <x:v>0.9154 ± 0.0354</x:v>
      </x:c>
      <x:c r="H18" s="10" t="str">
        <x:f>TEXT(AVERAGE('Por semilla'!H70:H74),"0.0000")&amp;" ± "&amp;TEXT(STDEV.P('Por semilla'!H70:H74),"0.0000")</x:f>
        <x:v>0.8791 ± 0.0219</x:v>
      </x:c>
      <x:c r="I18" s="12" t="str">
        <x:v>Completado</x:v>
      </x:c>
      <x:c r="J18" s="10" t="str">
        <x:f>TEXT(AVERAGE('Por semilla'!J70:J74),"0.0000")&amp;" ± "&amp;TEXT(STDEV.P('Por semilla'!J70:J74),"0.0000")</x:f>
        <x:v>0.9286 ± 0.0284</x:v>
      </x:c>
      <x:c r="K18" s="10" t="str">
        <x:f>TEXT(AVERAGE('Por semilla'!K70:K74),"0.0000")&amp;" ± "&amp;TEXT(STDEV.P('Por semilla'!K70:K74),"0.0000")</x:f>
        <x:v>0.0933 ± 0.0201</x:v>
      </x:c>
      <x:c r="L18" s="10" t="str">
        <x:f>TEXT(AVERAGE('Por semilla'!L70:L74),"0.0000")&amp;" ± "&amp;TEXT(STDEV.P('Por semilla'!L70:L74),"0.0000")</x:f>
        <x:v>0.0755 ± 0.0275</x:v>
      </x:c>
    </x:row>
    <x:row r="19" ht="23" customHeight="1">
      <x:c r="A19" s="2" t="str">
        <x:v>B: fusión intermedia</x:v>
      </x:c>
      <x:c r="B19" s="2" t="str">
        <x:v>Binaria</x:v>
      </x:c>
      <x:c r="C19" s="9" t="n">
        <x:v>5</x:v>
      </x:c>
      <x:c r="D19" s="9" t="str">
        <x:f>TEXT(AVERAGE('Por semilla'!D75:D79),"0.0000")&amp;" ± "&amp;TEXT(STDEV.P('Por semilla'!D75:D79),"0.0000")</x:f>
        <x:v>0.9555 ± 0.0112</x:v>
      </x:c>
      <x:c r="E19" s="9" t="str">
        <x:f>TEXT(AVERAGE('Por semilla'!E75:E79),"0.0000")&amp;" ± "&amp;TEXT(STDEV.P('Por semilla'!E75:E79),"0.0000")</x:f>
        <x:v>0.8757 ± 0.0188</x:v>
      </x:c>
      <x:c r="F19" s="9" t="str">
        <x:f>TEXT(AVERAGE('Por semilla'!F75:F79),"0.0000")&amp;" ± "&amp;TEXT(STDEV.P('Por semilla'!F75:F79),"0.0000")</x:f>
        <x:v>0.8731 ± 0.0203</x:v>
      </x:c>
      <x:c r="G19" s="9" t="str">
        <x:f>TEXT(AVERAGE('Por semilla'!G75:G79),"0.0000")&amp;" ± "&amp;TEXT(STDEV.P('Por semilla'!G75:G79),"0.0000")</x:f>
        <x:v>0.8251 ± 0.0575</x:v>
      </x:c>
      <x:c r="H19" s="9" t="str">
        <x:f>TEXT(AVERAGE('Por semilla'!H75:H79),"0.0000")&amp;" ± "&amp;TEXT(STDEV.P('Por semilla'!H75:H79),"0.0000")</x:f>
        <x:v>0.8615 ± 0.0261</x:v>
      </x:c>
      <x:c r="I19" s="11" t="str">
        <x:v>Completado</x:v>
      </x:c>
      <x:c r="J19" s="9" t="str">
        <x:f>TEXT(AVERAGE('Por semilla'!J75:J79),"0.0000")&amp;" ± "&amp;TEXT(STDEV.P('Por semilla'!J75:J79),"0.0000")</x:f>
        <x:v>0.9342 ± 0.0297</x:v>
      </x:c>
      <x:c r="K19" s="9" t="str">
        <x:f>TEXT(AVERAGE('Por semilla'!K75:K79),"0.0000")&amp;" ± "&amp;TEXT(STDEV.P('Por semilla'!K75:K79),"0.0000")</x:f>
        <x:v>0.1011 ± 0.0076</x:v>
      </x:c>
      <x:c r="L19" s="9" t="str">
        <x:f>TEXT(AVERAGE('Por semilla'!L75:L79),"0.0000")&amp;" ± "&amp;TEXT(STDEV.P('Por semilla'!L75:L79),"0.0000")</x:f>
        <x:v>0.1275 ± 0.0296</x:v>
      </x:c>
    </x:row>
    <x:row r="20" ht="23" customHeight="1">
      <x:c r="A20" s="8" t="str">
        <x:v>A focal</x:v>
      </x:c>
      <x:c r="B20" s="8" t="str">
        <x:v>Binaria</x:v>
      </x:c>
      <x:c r="C20" s="10" t="n">
        <x:v>5</x:v>
      </x:c>
      <x:c r="D20" s="10" t="str">
        <x:f>TEXT(AVERAGE('Por semilla'!D80:D84),"0.0000")&amp;" ± "&amp;TEXT(STDEV.P('Por semilla'!D80:D84),"0.0000")</x:f>
        <x:v>0.9540 ± 0.0114</x:v>
      </x:c>
      <x:c r="E20" s="10" t="str">
        <x:f>TEXT(AVERAGE('Por semilla'!E80:E84),"0.0000")&amp;" ± "&amp;TEXT(STDEV.P('Por semilla'!E80:E84),"0.0000")</x:f>
        <x:v>0.8817 ± 0.0177</x:v>
      </x:c>
      <x:c r="F20" s="10" t="str">
        <x:f>TEXT(AVERAGE('Por semilla'!F80:F84),"0.0000")&amp;" ± "&amp;TEXT(STDEV.P('Por semilla'!F80:F84),"0.0000")</x:f>
        <x:v>0.8830 ± 0.0174</x:v>
      </x:c>
      <x:c r="G20" s="10" t="str">
        <x:f>TEXT(AVERAGE('Por semilla'!G80:G84),"0.0000")&amp;" ± "&amp;TEXT(STDEV.P('Por semilla'!G80:G84),"0.0000")</x:f>
        <x:v>0.9026 ± 0.0513</x:v>
      </x:c>
      <x:c r="H20" s="10" t="str">
        <x:f>TEXT(AVERAGE('Por semilla'!H80:H84),"0.0000")&amp;" ± "&amp;TEXT(STDEV.P('Por semilla'!H80:H84),"0.0000")</x:f>
        <x:v>0.8780 ± 0.0185</x:v>
      </x:c>
      <x:c r="I20" s="12" t="str">
        <x:v>Completado</x:v>
      </x:c>
      <x:c r="J20" s="10" t="str">
        <x:f>TEXT(AVERAGE('Por semilla'!J80:J84),"0.0000")&amp;" ± "&amp;TEXT(STDEV.P('Por semilla'!J80:J84),"0.0000")</x:f>
        <x:v>0.9318 ± 0.0236</x:v>
      </x:c>
      <x:c r="K20" s="10" t="str">
        <x:f>TEXT(AVERAGE('Por semilla'!K80:K84),"0.0000")&amp;" ± "&amp;TEXT(STDEV.P('Por semilla'!K80:K84),"0.0000")</x:f>
        <x:v>0.0876 ± 0.0096</x:v>
      </x:c>
      <x:c r="L20" s="10" t="str">
        <x:f>TEXT(AVERAGE('Por semilla'!L80:L84),"0.0000")&amp;" ± "&amp;TEXT(STDEV.P('Por semilla'!L80:L84),"0.0000")</x:f>
        <x:v>0.0823 ± 0.0326</x:v>
      </x:c>
    </x:row>
    <x:row r="21" ht="23" customHeight="1">
      <x:c r="A21" s="2" t="str">
        <x:v>B BCE</x:v>
      </x:c>
      <x:c r="B21" s="2" t="str">
        <x:v>Binaria</x:v>
      </x:c>
      <x:c r="C21" s="9" t="n">
        <x:v>5</x:v>
      </x:c>
      <x:c r="D21" s="9" t="str">
        <x:f>TEXT(AVERAGE('Por semilla'!D85:D89),"0.0000")&amp;" ± "&amp;TEXT(STDEV.P('Por semilla'!D85:D89),"0.0000")</x:f>
        <x:v>0.9541 ± 0.0135</x:v>
      </x:c>
      <x:c r="E21" s="9" t="str">
        <x:f>TEXT(AVERAGE('Por semilla'!E85:E89),"0.0000")&amp;" ± "&amp;TEXT(STDEV.P('Por semilla'!E85:E89),"0.0000")</x:f>
        <x:v>0.8904 ± 0.0144</x:v>
      </x:c>
      <x:c r="F21" s="9" t="str">
        <x:f>TEXT(AVERAGE('Por semilla'!F85:F89),"0.0000")&amp;" ± "&amp;TEXT(STDEV.P('Por semilla'!F85:F89),"0.0000")</x:f>
        <x:v>0.8912 ± 0.0140</x:v>
      </x:c>
      <x:c r="G21" s="9" t="str">
        <x:f>TEXT(AVERAGE('Por semilla'!G85:G89),"0.0000")&amp;" ± "&amp;TEXT(STDEV.P('Por semilla'!G85:G89),"0.0000")</x:f>
        <x:v>0.9043 ± 0.0280</x:v>
      </x:c>
      <x:c r="H21" s="9" t="str">
        <x:f>TEXT(AVERAGE('Por semilla'!H85:H89),"0.0000")&amp;" ± "&amp;TEXT(STDEV.P('Por semilla'!H85:H89),"0.0000")</x:f>
        <x:v>0.8863 ± 0.0144</x:v>
      </x:c>
      <x:c r="I21" s="11" t="str">
        <x:v>Completado</x:v>
      </x:c>
      <x:c r="J21" s="9" t="str">
        <x:f>TEXT(AVERAGE('Por semilla'!J85:J89),"0.0000")&amp;" ± "&amp;TEXT(STDEV.P('Por semilla'!J85:J89),"0.0000")</x:f>
        <x:v>0.9282 ± 0.0349</x:v>
      </x:c>
      <x:c r="K21" s="9" t="str">
        <x:f>TEXT(AVERAGE('Por semilla'!K85:K89),"0.0000")&amp;" ± "&amp;TEXT(STDEV.P('Por semilla'!K85:K89),"0.0000")</x:f>
        <x:v>0.0837 ± 0.0133</x:v>
      </x:c>
      <x:c r="L21" s="9" t="str">
        <x:f>TEXT(AVERAGE('Por semilla'!L85:L89),"0.0000")&amp;" ± "&amp;TEXT(STDEV.P('Por semilla'!L85:L89),"0.0000")</x:f>
        <x:v>0.0659 ± 0.0209</x:v>
      </x:c>
    </x:row>
    <x:row r="22" ht="23" customHeight="1">
      <x:c r="A22" s="8" t="str">
        <x:v>Metadata MLP focal</x:v>
      </x:c>
      <x:c r="B22" s="8" t="str">
        <x:v>Binaria</x:v>
      </x:c>
      <x:c r="C22" s="10" t="n">
        <x:v>5</x:v>
      </x:c>
      <x:c r="D22" s="10" t="str">
        <x:f>TEXT(AVERAGE('Por semilla'!D90:D94),"0.0000")&amp;" ± "&amp;TEXT(STDEV.P('Por semilla'!D90:D94),"0.0000")</x:f>
        <x:v>0.9443 ± 0.0151</x:v>
      </x:c>
      <x:c r="E22" s="10" t="str">
        <x:f>TEXT(AVERAGE('Por semilla'!E90:E94),"0.0000")&amp;" ± "&amp;TEXT(STDEV.P('Por semilla'!E90:E94),"0.0000")</x:f>
        <x:v>0.8548 ± 0.0241</x:v>
      </x:c>
      <x:c r="F22" s="10" t="str">
        <x:f>TEXT(AVERAGE('Por semilla'!F90:F94),"0.0000")&amp;" ± "&amp;TEXT(STDEV.P('Por semilla'!F90:F94),"0.0000")</x:f>
        <x:v>0.8517 ± 0.0248</x:v>
      </x:c>
      <x:c r="G22" s="10" t="str">
        <x:f>TEXT(AVERAGE('Por semilla'!G90:G94),"0.0000")&amp;" ± "&amp;TEXT(STDEV.P('Por semilla'!G90:G94),"0.0000")</x:f>
        <x:v>0.7957 ± 0.0416</x:v>
      </x:c>
      <x:c r="H22" s="10" t="str">
        <x:f>TEXT(AVERAGE('Por semilla'!H90:H94),"0.0000")&amp;" ± "&amp;TEXT(STDEV.P('Por semilla'!H90:H94),"0.0000")</x:f>
        <x:v>0.8376 ± 0.0295</x:v>
      </x:c>
      <x:c r="I22" s="12" t="str">
        <x:v>Completado</x:v>
      </x:c>
      <x:c r="J22" s="10" t="str">
        <x:f>TEXT(AVERAGE('Por semilla'!J90:J94),"0.0000")&amp;" ± "&amp;TEXT(STDEV.P('Por semilla'!J90:J94),"0.0000")</x:f>
        <x:v>0.9162 ± 0.0329</x:v>
      </x:c>
      <x:c r="K22" s="10" t="str">
        <x:f>TEXT(AVERAGE('Por semilla'!K90:K94),"0.0000")&amp;" ± "&amp;TEXT(STDEV.P('Por semilla'!K90:K94),"0.0000")</x:f>
        <x:v>0.1193 ± 0.0076</x:v>
      </x:c>
      <x:c r="L22" s="10" t="str">
        <x:f>TEXT(AVERAGE('Por semilla'!L90:L94),"0.0000")&amp;" ± "&amp;TEXT(STDEV.P('Por semilla'!L90:L94),"0.0000")</x:f>
        <x:v>0.1554 ± 0.0309</x:v>
      </x:c>
    </x:row>
    <x:row r="23" ht="23" customHeight="1">
      <x:c r="A23" s="2" t="str">
        <x:v>B solo metadata, misma capacidad</x:v>
      </x:c>
      <x:c r="B23" s="2" t="str">
        <x:v>Binaria</x:v>
      </x:c>
      <x:c r="C23" s="9" t="n">
        <x:v>5</x:v>
      </x:c>
      <x:c r="D23" s="9" t="str">
        <x:f>TEXT(AVERAGE('Por semilla'!D95:D99),"0.0000")&amp;" ± "&amp;TEXT(STDEV.P('Por semilla'!D95:D99),"0.0000")</x:f>
        <x:v>0.9468 ± 0.0137</x:v>
      </x:c>
      <x:c r="E23" s="9" t="str">
        <x:f>TEXT(AVERAGE('Por semilla'!E95:E99),"0.0000")&amp;" ± "&amp;TEXT(STDEV.P('Por semilla'!E95:E99),"0.0000")</x:f>
        <x:v>0.8609 ± 0.0189</x:v>
      </x:c>
      <x:c r="F23" s="9" t="str">
        <x:f>TEXT(AVERAGE('Por semilla'!F95:F99),"0.0000")&amp;" ± "&amp;TEXT(STDEV.P('Por semilla'!F95:F99),"0.0000")</x:f>
        <x:v>0.8592 ± 0.0198</x:v>
      </x:c>
      <x:c r="G23" s="9" t="str">
        <x:f>TEXT(AVERAGE('Por semilla'!G95:G99),"0.0000")&amp;" ± "&amp;TEXT(STDEV.P('Por semilla'!G95:G99),"0.0000")</x:f>
        <x:v>0.8271 ± 0.0526</x:v>
      </x:c>
      <x:c r="H23" s="9" t="str">
        <x:f>TEXT(AVERAGE('Por semilla'!H95:H99),"0.0000")&amp;" ± "&amp;TEXT(STDEV.P('Por semilla'!H95:H99),"0.0000")</x:f>
        <x:v>0.8482 ± 0.0239</x:v>
      </x:c>
      <x:c r="I23" s="11" t="str">
        <x:v>Completado</x:v>
      </x:c>
      <x:c r="J23" s="9" t="str">
        <x:f>TEXT(AVERAGE('Por semilla'!J95:J99),"0.0000")&amp;" ± "&amp;TEXT(STDEV.P('Por semilla'!J95:J99),"0.0000")</x:f>
        <x:v>0.9207 ± 0.0296</x:v>
      </x:c>
      <x:c r="K23" s="9" t="str">
        <x:f>TEXT(AVERAGE('Por semilla'!K95:K99),"0.0000")&amp;" ± "&amp;TEXT(STDEV.P('Por semilla'!K95:K99),"0.0000")</x:f>
        <x:v>0.1174 ± 0.0066</x:v>
      </x:c>
      <x:c r="L23" s="9" t="str">
        <x:f>TEXT(AVERAGE('Por semilla'!L95:L99),"0.0000")&amp;" ± "&amp;TEXT(STDEV.P('Por semilla'!L95:L99),"0.0000")</x:f>
        <x:v>0.1531 ± 0.0223</x:v>
      </x:c>
    </x:row>
    <x:row r="24" ht="23" customHeight="1">
      <x:c r="A24" s="8" t="str">
        <x:v>B solo imágenes, misma capacidad</x:v>
      </x:c>
      <x:c r="B24" s="8" t="str">
        <x:v>Binaria</x:v>
      </x:c>
      <x:c r="C24" s="10" t="n">
        <x:v>5</x:v>
      </x:c>
      <x:c r="D24" s="10" t="str">
        <x:f>TEXT(AVERAGE('Por semilla'!D100:D104),"0.0000")&amp;" ± "&amp;TEXT(STDEV.P('Por semilla'!D100:D104),"0.0000")</x:f>
        <x:v>0.9084 ± 0.0198</x:v>
      </x:c>
      <x:c r="E24" s="10" t="str">
        <x:f>TEXT(AVERAGE('Por semilla'!E100:E104),"0.0000")&amp;" ± "&amp;TEXT(STDEV.P('Por semilla'!E100:E104),"0.0000")</x:f>
        <x:v>0.7861 ± 0.0482</x:v>
      </x:c>
      <x:c r="F24" s="10" t="str">
        <x:f>TEXT(AVERAGE('Por semilla'!F100:F104),"0.0000")&amp;" ± "&amp;TEXT(STDEV.P('Por semilla'!F100:F104),"0.0000")</x:f>
        <x:v>0.7788 ± 0.0518</x:v>
      </x:c>
      <x:c r="G24" s="10" t="str">
        <x:f>TEXT(AVERAGE('Por semilla'!G100:G104),"0.0000")&amp;" ± "&amp;TEXT(STDEV.P('Por semilla'!G100:G104),"0.0000")</x:f>
        <x:v>0.6431 ± 0.1300</x:v>
      </x:c>
      <x:c r="H24" s="10" t="str">
        <x:f>TEXT(AVERAGE('Por semilla'!H100:H104),"0.0000")&amp;" ± "&amp;TEXT(STDEV.P('Por semilla'!H100:H104),"0.0000")</x:f>
        <x:v>0.7314 ± 0.0926</x:v>
      </x:c>
      <x:c r="I24" s="12" t="str">
        <x:v>Completado</x:v>
      </x:c>
      <x:c r="J24" s="10" t="str">
        <x:f>TEXT(AVERAGE('Por semilla'!J100:J104),"0.0000")&amp;" ± "&amp;TEXT(STDEV.P('Por semilla'!J100:J104),"0.0000")</x:f>
        <x:v>0.8867 ± 0.0312</x:v>
      </x:c>
      <x:c r="K24" s="10" t="str">
        <x:f>TEXT(AVERAGE('Por semilla'!K100:K104),"0.0000")&amp;" ± "&amp;TEXT(STDEV.P('Por semilla'!K100:K104),"0.0000")</x:f>
        <x:v>0.1508 ± 0.0151</x:v>
      </x:c>
      <x:c r="L24" s="10" t="str">
        <x:f>TEXT(AVERAGE('Por semilla'!L100:L104),"0.0000")&amp;" ± "&amp;TEXT(STDEV.P('Por semilla'!L100:L104),"0.0000")</x:f>
        <x:v>0.1483 ± 0.0359</x:v>
      </x:c>
    </x:row>
    <x:row r="25" ht="23" customHeight="1">
      <x:c r="A25" s="2" t="str">
        <x:v>Metadata MLP</x:v>
      </x:c>
      <x:c r="B25" s="2" t="str">
        <x:v>Multiclase</x:v>
      </x:c>
      <x:c r="C25" s="9" t="n">
        <x:v>5</x:v>
      </x:c>
      <x:c r="D25" s="9" t="str">
        <x:f>TEXT(AVERAGE('Por semilla'!D105:D109),"0.0000")&amp;" ± "&amp;TEXT(STDEV.P('Por semilla'!D105:D109),"0.0000")</x:f>
        <x:v>0.9086 ± 0.0118</x:v>
      </x:c>
      <x:c r="E25" s="9" t="str">
        <x:f>TEXT(AVERAGE('Por semilla'!E105:E109),"0.0000")&amp;" ± "&amp;TEXT(STDEV.P('Por semilla'!E105:E109),"0.0000")</x:f>
        <x:v>0.6548 ± 0.0389</x:v>
      </x:c>
      <x:c r="F25" s="9" t="str">
        <x:f>TEXT(AVERAGE('Por semilla'!F105:F109),"0.0000")&amp;" ± "&amp;TEXT(STDEV.P('Por semilla'!F105:F109),"0.0000")</x:f>
        <x:v>0.5993 ± 0.0519</x:v>
      </x:c>
      <x:c r="G25" s="9" t="str">
        <x:f>TEXT(AVERAGE('Por semilla'!G105:G109),"0.0000")&amp;" ± "&amp;TEXT(STDEV.P('Por semilla'!G105:G109),"0.0000")</x:f>
        <x:v>0.5993 ± 0.0519</x:v>
      </x:c>
      <x:c r="H25" s="9" t="str">
        <x:f>TEXT(AVERAGE('Por semilla'!H105:H109),"0.0000")&amp;" ± "&amp;TEXT(STDEV.P('Por semilla'!H105:H109),"0.0000")</x:f>
        <x:v>0.5632 ± 0.0497</x:v>
      </x:c>
      <x:c r="I25" s="11" t="str">
        <x:v>Completado</x:v>
      </x:c>
      <x:c r="J25" s="9" t="str">
        <x:f>TEXT(AVERAGE('Por semilla'!J105:J109),"0.0000")&amp;" ± "&amp;TEXT(STDEV.P('Por semilla'!J105:J109),"0.0000")</x:f>
        <x:v>0.6475 ± 0.0474</x:v>
      </x:c>
      <x:c r="K25" s="9" t="str">
        <x:f>TEXT(AVERAGE('Por semilla'!K105:K109),"0.0000")&amp;" ± "&amp;TEXT(STDEV.P('Por semilla'!K105:K109),"0.0000")</x:f>
        <x:v>0.4877 ± 0.0260</x:v>
      </x:c>
      <x:c r="L25" s="9" t="str">
        <x:f>TEXT(AVERAGE('Por semilla'!L105:L109),"0.0000")&amp;" ± "&amp;TEXT(STDEV.P('Por semilla'!L105:L109),"0.0000")</x:f>
        <x:v>0.1165 ± 0.0344</x:v>
      </x:c>
    </x:row>
    <x:row r="26" ht="23" customHeight="1">
      <x:c r="A26" s="8" t="str">
        <x:v>Metadata logística</x:v>
      </x:c>
      <x:c r="B26" s="8" t="str">
        <x:v>Multiclase</x:v>
      </x:c>
      <x:c r="C26" s="10" t="n">
        <x:v>5</x:v>
      </x:c>
      <x:c r="D26" s="10" t="str">
        <x:f>TEXT(AVERAGE('Por semilla'!D110:D114),"0.0000")&amp;" ± "&amp;TEXT(STDEV.P('Por semilla'!D110:D114),"0.0000")</x:f>
        <x:v>0.8995 ± 0.0088</x:v>
      </x:c>
      <x:c r="E26" s="10" t="str">
        <x:f>TEXT(AVERAGE('Por semilla'!E110:E114),"0.0000")&amp;" ± "&amp;TEXT(STDEV.P('Por semilla'!E110:E114),"0.0000")</x:f>
        <x:v>0.6739 ± 0.0279</x:v>
      </x:c>
      <x:c r="F26" s="10" t="str">
        <x:f>TEXT(AVERAGE('Por semilla'!F110:F114),"0.0000")&amp;" ± "&amp;TEXT(STDEV.P('Por semilla'!F110:F114),"0.0000")</x:f>
        <x:v>0.6491 ± 0.0302</x:v>
      </x:c>
      <x:c r="G26" s="10" t="str">
        <x:f>TEXT(AVERAGE('Por semilla'!G110:G114),"0.0000")&amp;" ± "&amp;TEXT(STDEV.P('Por semilla'!G110:G114),"0.0000")</x:f>
        <x:v>0.6491 ± 0.0302</x:v>
      </x:c>
      <x:c r="H26" s="10" t="str">
        <x:f>TEXT(AVERAGE('Por semilla'!H110:H114),"0.0000")&amp;" ± "&amp;TEXT(STDEV.P('Por semilla'!H110:H114),"0.0000")</x:f>
        <x:v>0.5900 ± 0.0125</x:v>
      </x:c>
      <x:c r="I26" s="12" t="str">
        <x:v>Completado</x:v>
      </x:c>
      <x:c r="J26" s="10" t="str">
        <x:f>TEXT(AVERAGE('Por semilla'!J110:J114),"0.0000")&amp;" ± "&amp;TEXT(STDEV.P('Por semilla'!J110:J114),"0.0000")</x:f>
        <x:v>0.6434 ± 0.0359</x:v>
      </x:c>
      <x:c r="K26" s="10" t="str">
        <x:f>TEXT(AVERAGE('Por semilla'!K110:K114),"0.0000")&amp;" ± "&amp;TEXT(STDEV.P('Por semilla'!K110:K114),"0.0000")</x:f>
        <x:v>0.4703 ± 0.0324</x:v>
      </x:c>
      <x:c r="L26" s="10" t="str">
        <x:f>TEXT(AVERAGE('Por semilla'!L110:L114),"0.0000")&amp;" ± "&amp;TEXT(STDEV.P('Por semilla'!L110:L114),"0.0000")</x:f>
        <x:v>0.0864 ± 0.0379</x:v>
      </x:c>
    </x:row>
    <x:row r="27" ht="23" customHeight="1">
      <x:c r="A27" s="2" t="str">
        <x:v>Metadata boosting</x:v>
      </x:c>
      <x:c r="B27" s="2" t="str">
        <x:v>Multiclase</x:v>
      </x:c>
      <x:c r="C27" s="9" t="n">
        <x:v>5</x:v>
      </x:c>
      <x:c r="D27" s="9" t="str">
        <x:f>TEXT(AVERAGE('Por semilla'!D115:D119),"0.0000")&amp;" ± "&amp;TEXT(STDEV.P('Por semilla'!D115:D119),"0.0000")</x:f>
        <x:v>0.9091 ± 0.0106</x:v>
      </x:c>
      <x:c r="E27" s="9" t="str">
        <x:f>TEXT(AVERAGE('Por semilla'!E115:E119),"0.0000")&amp;" ± "&amp;TEXT(STDEV.P('Por semilla'!E115:E119),"0.0000")</x:f>
        <x:v>0.6939 ± 0.0157</x:v>
      </x:c>
      <x:c r="F27" s="9" t="str">
        <x:f>TEXT(AVERAGE('Por semilla'!F115:F119),"0.0000")&amp;" ± "&amp;TEXT(STDEV.P('Por semilla'!F115:F119),"0.0000")</x:f>
        <x:v>0.5573 ± 0.0184</x:v>
      </x:c>
      <x:c r="G27" s="9" t="str">
        <x:f>TEXT(AVERAGE('Por semilla'!G115:G119),"0.0000")&amp;" ± "&amp;TEXT(STDEV.P('Por semilla'!G115:G119),"0.0000")</x:f>
        <x:v>0.5573 ± 0.0184</x:v>
      </x:c>
      <x:c r="H27" s="9" t="str">
        <x:f>TEXT(AVERAGE('Por semilla'!H115:H119),"0.0000")&amp;" ± "&amp;TEXT(STDEV.P('Por semilla'!H115:H119),"0.0000")</x:f>
        <x:v>0.5567 ± 0.0196</x:v>
      </x:c>
      <x:c r="I27" s="11" t="str">
        <x:v>Completado</x:v>
      </x:c>
      <x:c r="J27" s="9" t="str">
        <x:f>TEXT(AVERAGE('Por semilla'!J115:J119),"0.0000")&amp;" ± "&amp;TEXT(STDEV.P('Por semilla'!J115:J119),"0.0000")</x:f>
        <x:v>0.6497 ± 0.0216</x:v>
      </x:c>
      <x:c r="K27" s="9" t="str">
        <x:f>TEXT(AVERAGE('Por semilla'!K115:K119),"0.0000")&amp;" ± "&amp;TEXT(STDEV.P('Por semilla'!K115:K119),"0.0000")</x:f>
        <x:v>0.4187 ± 0.0156</x:v>
      </x:c>
      <x:c r="L27" s="9" t="str">
        <x:f>TEXT(AVERAGE('Por semilla'!L115:L119),"0.0000")&amp;" ± "&amp;TEXT(STDEV.P('Por semilla'!L115:L119),"0.0000")</x:f>
        <x:v>0.0722 ± 0.0140</x:v>
      </x:c>
    </x:row>
    <x:row r="28" ht="23" customHeight="1">
      <x:c r="A28" s="8" t="str">
        <x:v>Metadata elegida con validación</x:v>
      </x:c>
      <x:c r="B28" s="8" t="str">
        <x:v>Multiclase</x:v>
      </x:c>
      <x:c r="C28" s="10" t="n">
        <x:v>5</x:v>
      </x:c>
      <x:c r="D28" s="10" t="str">
        <x:f>TEXT(AVERAGE('Por semilla'!D120:D124),"0.0000")&amp;" ± "&amp;TEXT(STDEV.P('Por semilla'!D120:D124),"0.0000")</x:f>
        <x:v>0.9084 ± 0.0112</x:v>
      </x:c>
      <x:c r="E28" s="10" t="str">
        <x:f>TEXT(AVERAGE('Por semilla'!E120:E124),"0.0000")&amp;" ± "&amp;TEXT(STDEV.P('Por semilla'!E120:E124),"0.0000")</x:f>
        <x:v>0.6670 ± 0.0340</x:v>
      </x:c>
      <x:c r="F28" s="10" t="str">
        <x:f>TEXT(AVERAGE('Por semilla'!F120:F124),"0.0000")&amp;" ± "&amp;TEXT(STDEV.P('Por semilla'!F120:F124),"0.0000")</x:f>
        <x:v>0.5985 ± 0.0471</x:v>
      </x:c>
      <x:c r="G28" s="10" t="str">
        <x:f>TEXT(AVERAGE('Por semilla'!G120:G124),"0.0000")&amp;" ± "&amp;TEXT(STDEV.P('Por semilla'!G120:G124),"0.0000")</x:f>
        <x:v>0.5985 ± 0.0471</x:v>
      </x:c>
      <x:c r="H28" s="10" t="str">
        <x:f>TEXT(AVERAGE('Por semilla'!H120:H124),"0.0000")&amp;" ± "&amp;TEXT(STDEV.P('Por semilla'!H120:H124),"0.0000")</x:f>
        <x:v>0.5679 ± 0.0406</x:v>
      </x:c>
      <x:c r="I28" s="12" t="str">
        <x:v>Derivado</x:v>
      </x:c>
      <x:c r="J28" s="10" t="str">
        <x:f>TEXT(AVERAGE('Por semilla'!J120:J124),"0.0000")&amp;" ± "&amp;TEXT(STDEV.P('Por semilla'!J120:J124),"0.0000")</x:f>
        <x:v>0.6490 ± 0.0460</x:v>
      </x:c>
      <x:c r="K28" s="10" t="str">
        <x:f>TEXT(AVERAGE('Por semilla'!K120:K124),"0.0000")&amp;" ± "&amp;TEXT(STDEV.P('Por semilla'!K120:K124),"0.0000")</x:f>
        <x:v>0.4646 ± 0.0273</x:v>
      </x:c>
      <x:c r="L28" s="10" t="str">
        <x:f>TEXT(AVERAGE('Por semilla'!L120:L124),"0.0000")&amp;" ± "&amp;TEXT(STDEV.P('Por semilla'!L120:L124),"0.0000")</x:f>
        <x:v>0.0821 ± 0.0459</x:v>
      </x:c>
    </x:row>
    <x:row r="29" ht="23" customHeight="1">
      <x:c r="A29" s="2" t="str">
        <x:v>Prior empírico de train</x:v>
      </x:c>
      <x:c r="B29" s="2" t="str">
        <x:v>Multiclase</x:v>
      </x:c>
      <x:c r="C29" s="9" t="n">
        <x:v>5</x:v>
      </x:c>
      <x:c r="D29" s="9" t="str">
        <x:f>TEXT(AVERAGE('Por semilla'!D125:D129),"0.0000")&amp;" ± "&amp;TEXT(STDEV.P('Por semilla'!D125:D129),"0.0000")</x:f>
        <x:v>0.5000 ± 0.0000</x:v>
      </x:c>
      <x:c r="E29" s="9" t="str">
        <x:f>TEXT(AVERAGE('Por semilla'!E125:E129),"0.0000")&amp;" ± "&amp;TEXT(STDEV.P('Por semilla'!E125:E129),"0.0000")</x:f>
        <x:v>0.3670 ± 0.0021</x:v>
      </x:c>
      <x:c r="F29" s="9" t="str">
        <x:f>TEXT(AVERAGE('Por semilla'!F125:F129),"0.0000")&amp;" ± "&amp;TEXT(STDEV.P('Por semilla'!F125:F129),"0.0000")</x:f>
        <x:v>0.1667 ± 0.0000</x:v>
      </x:c>
      <x:c r="G29" s="9" t="str">
        <x:f>TEXT(AVERAGE('Por semilla'!G125:G129),"0.0000")&amp;" ± "&amp;TEXT(STDEV.P('Por semilla'!G125:G129),"0.0000")</x:f>
        <x:v>0.1667 ± 0.0000</x:v>
      </x:c>
      <x:c r="H29" s="9" t="str">
        <x:f>TEXT(AVERAGE('Por semilla'!H125:H129),"0.0000")&amp;" ± "&amp;TEXT(STDEV.P('Por semilla'!H125:H129),"0.0000")</x:f>
        <x:v>0.0895 ± 0.0004</x:v>
      </x:c>
      <x:c r="I29" s="11" t="str">
        <x:v>Completado</x:v>
      </x:c>
      <x:c r="J29" s="9" t="str">
        <x:f>TEXT(AVERAGE('Por semilla'!J125:J129),"0.0000")&amp;" ± "&amp;TEXT(STDEV.P('Por semilla'!J125:J129),"0.0000")</x:f>
        <x:v>0.1667 ± 0.0000</x:v>
      </x:c>
      <x:c r="K29" s="9" t="str">
        <x:f>TEXT(AVERAGE('Por semilla'!K125:K129),"0.0000")&amp;" ± "&amp;TEXT(STDEV.P('Por semilla'!K125:K129),"0.0000")</x:f>
        <x:v>0.7351 ± 0.0013</x:v>
      </x:c>
      <x:c r="L29" s="9" t="str">
        <x:f>TEXT(AVERAGE('Por semilla'!L125:L129),"0.0000")&amp;" ± "&amp;TEXT(STDEV.P('Por semilla'!L125:L129),"0.0000")</x:f>
        <x:v>0.0027 ± 0.0004</x:v>
      </x:c>
    </x:row>
    <x:row r="30" ht="23" customHeight="1">
      <x:c r="A30" s="8" t="str">
        <x:v>Prior ponderado en multiclase</x:v>
      </x:c>
      <x:c r="B30" s="8" t="str">
        <x:v>Multiclase</x:v>
      </x:c>
      <x:c r="C30" s="10" t="n">
        <x:v>5</x:v>
      </x:c>
      <x:c r="D30" s="10" t="str">
        <x:f>TEXT(AVERAGE('Por semilla'!D130:D134),"0.0000")&amp;" ± "&amp;TEXT(STDEV.P('Por semilla'!D130:D134),"0.0000")</x:f>
        <x:v>0.5000 ± 0.0000</x:v>
      </x:c>
      <x:c r="E30" s="10" t="str">
        <x:f>TEXT(AVERAGE('Por semilla'!E130:E134),"0.0000")&amp;" ± "&amp;TEXT(STDEV.P('Por semilla'!E130:E134),"0.0000")</x:f>
        <x:v>0.3270 ± 0.0191</x:v>
      </x:c>
      <x:c r="F30" s="10" t="str">
        <x:f>TEXT(AVERAGE('Por semilla'!F130:F134),"0.0000")&amp;" ± "&amp;TEXT(STDEV.P('Por semilla'!F130:F134),"0.0000")</x:f>
        <x:v>0.1667 ± 0.0000</x:v>
      </x:c>
      <x:c r="G30" s="10" t="str">
        <x:f>TEXT(AVERAGE('Por semilla'!G130:G134),"0.0000")&amp;" ± "&amp;TEXT(STDEV.P('Por semilla'!G130:G134),"0.0000")</x:f>
        <x:v>0.1667 ± 0.0000</x:v>
      </x:c>
      <x:c r="H30" s="10" t="str">
        <x:f>TEXT(AVERAGE('Por semilla'!H130:H134),"0.0000")&amp;" ± "&amp;TEXT(STDEV.P('Por semilla'!H130:H134),"0.0000")</x:f>
        <x:v>0.0821 ± 0.0035</x:v>
      </x:c>
      <x:c r="I30" s="12" t="str">
        <x:v>Completado</x:v>
      </x:c>
      <x:c r="J30" s="10" t="str">
        <x:f>TEXT(AVERAGE('Por semilla'!J130:J134),"0.0000")&amp;" ± "&amp;TEXT(STDEV.P('Por semilla'!J130:J134),"0.0000")</x:f>
        <x:v>0.1667 ± 0.0000</x:v>
      </x:c>
      <x:c r="K30" s="10" t="str">
        <x:f>TEXT(AVERAGE('Por semilla'!K130:K134),"0.0000")&amp;" ± "&amp;TEXT(STDEV.P('Por semilla'!K130:K134),"0.0000")</x:f>
        <x:v>0.8333 ± 0.0000</x:v>
      </x:c>
      <x:c r="L30" s="10" t="str">
        <x:f>TEXT(AVERAGE('Por semilla'!L130:L134),"0.0000")&amp;" ± "&amp;TEXT(STDEV.P('Por semilla'!L130:L134),"0.0000")</x:f>
        <x:v>0.1603 ± 0.0191</x:v>
      </x:c>
    </x:row>
    <x:row r="31" ht="23" customHeight="1">
      <x:c r="A31" s="2" t="str">
        <x:v>CLIP</x:v>
      </x:c>
      <x:c r="B31" s="2" t="str">
        <x:v>Multiclase</x:v>
      </x:c>
      <x:c r="C31" s="9" t="n">
        <x:v>5</x:v>
      </x:c>
      <x:c r="D31" s="9" t="str">
        <x:f>TEXT(AVERAGE('Por semilla'!D135:D139),"0.0000")&amp;" ± "&amp;TEXT(STDEV.P('Por semilla'!D135:D139),"0.0000")</x:f>
        <x:v>0.9183 ± 0.0101</x:v>
      </x:c>
      <x:c r="E31" s="9" t="str">
        <x:f>TEXT(AVERAGE('Por semilla'!E135:E139),"0.0000")&amp;" ± "&amp;TEXT(STDEV.P('Por semilla'!E135:E139),"0.0000")</x:f>
        <x:v>0.6591 ± 0.0314</x:v>
      </x:c>
      <x:c r="F31" s="9" t="str">
        <x:f>TEXT(AVERAGE('Por semilla'!F135:F139),"0.0000")&amp;" ± "&amp;TEXT(STDEV.P('Por semilla'!F135:F139),"0.0000")</x:f>
        <x:v>0.6509 ± 0.0292</x:v>
      </x:c>
      <x:c r="G31" s="9" t="str">
        <x:f>TEXT(AVERAGE('Por semilla'!G135:G139),"0.0000")&amp;" ± "&amp;TEXT(STDEV.P('Por semilla'!G135:G139),"0.0000")</x:f>
        <x:v>0.6509 ± 0.0292</x:v>
      </x:c>
      <x:c r="H31" s="9" t="str">
        <x:f>TEXT(AVERAGE('Por semilla'!H135:H139),"0.0000")&amp;" ± "&amp;TEXT(STDEV.P('Por semilla'!H135:H139),"0.0000")</x:f>
        <x:v>0.6081 ± 0.0199</x:v>
      </x:c>
      <x:c r="I31" s="11" t="str">
        <x:v>Completado</x:v>
      </x:c>
      <x:c r="J31" s="9" t="str">
        <x:f>TEXT(AVERAGE('Por semilla'!J135:J139),"0.0000")&amp;" ± "&amp;TEXT(STDEV.P('Por semilla'!J135:J139),"0.0000")</x:f>
        <x:v>0.6968 ± 0.0190</x:v>
      </x:c>
      <x:c r="K31" s="9" t="str">
        <x:f>TEXT(AVERAGE('Por semilla'!K135:K139),"0.0000")&amp;" ± "&amp;TEXT(STDEV.P('Por semilla'!K135:K139),"0.0000")</x:f>
        <x:v>0.4856 ± 0.0278</x:v>
      </x:c>
      <x:c r="L31" s="9" t="str">
        <x:f>TEXT(AVERAGE('Por semilla'!L135:L139),"0.0000")&amp;" ± "&amp;TEXT(STDEV.P('Por semilla'!L135:L139),"0.0000")</x:f>
        <x:v>0.1278 ± 0.0429</x:v>
      </x:c>
    </x:row>
    <x:row r="32" ht="23" customHeight="1">
      <x:c r="A32" s="8" t="str">
        <x:v>DINOv2</x:v>
      </x:c>
      <x:c r="B32" s="8" t="str">
        <x:v>Multiclase</x:v>
      </x:c>
      <x:c r="C32" s="10" t="n">
        <x:v>5</x:v>
      </x:c>
      <x:c r="D32" s="10" t="str">
        <x:f>TEXT(AVERAGE('Por semilla'!D140:D144),"0.0000")&amp;" ± "&amp;TEXT(STDEV.P('Por semilla'!D140:D144),"0.0000")</x:f>
        <x:v>0.8981 ± 0.0117</x:v>
      </x:c>
      <x:c r="E32" s="10" t="str">
        <x:f>TEXT(AVERAGE('Por semilla'!E140:E144),"0.0000")&amp;" ± "&amp;TEXT(STDEV.P('Por semilla'!E140:E144),"0.0000")</x:f>
        <x:v>0.6409 ± 0.0279</x:v>
      </x:c>
      <x:c r="F32" s="10" t="str">
        <x:f>TEXT(AVERAGE('Por semilla'!F140:F144),"0.0000")&amp;" ± "&amp;TEXT(STDEV.P('Por semilla'!F140:F144),"0.0000")</x:f>
        <x:v>0.6280 ± 0.0398</x:v>
      </x:c>
      <x:c r="G32" s="10" t="str">
        <x:f>TEXT(AVERAGE('Por semilla'!G140:G144),"0.0000")&amp;" ± "&amp;TEXT(STDEV.P('Por semilla'!G140:G144),"0.0000")</x:f>
        <x:v>0.6280 ± 0.0398</x:v>
      </x:c>
      <x:c r="H32" s="10" t="str">
        <x:f>TEXT(AVERAGE('Por semilla'!H140:H144),"0.0000")&amp;" ± "&amp;TEXT(STDEV.P('Por semilla'!H140:H144),"0.0000")</x:f>
        <x:v>0.6105 ± 0.0212</x:v>
      </x:c>
      <x:c r="I32" s="12" t="str">
        <x:v>Completado</x:v>
      </x:c>
      <x:c r="J32" s="10" t="str">
        <x:f>TEXT(AVERAGE('Por semilla'!J140:J144),"0.0000")&amp;" ± "&amp;TEXT(STDEV.P('Por semilla'!J140:J144),"0.0000")</x:f>
        <x:v>0.6659 ± 0.0281</x:v>
      </x:c>
      <x:c r="K32" s="10" t="str">
        <x:f>TEXT(AVERAGE('Por semilla'!K140:K144),"0.0000")&amp;" ± "&amp;TEXT(STDEV.P('Por semilla'!K140:K144),"0.0000")</x:f>
        <x:v>0.4865 ± 0.0231</x:v>
      </x:c>
      <x:c r="L32" s="10" t="str">
        <x:f>TEXT(AVERAGE('Por semilla'!L140:L144),"0.0000")&amp;" ± "&amp;TEXT(STDEV.P('Por semilla'!L140:L144),"0.0000")</x:f>
        <x:v>0.0880 ± 0.0341</x:v>
      </x:c>
    </x:row>
    <x:row r="33" ht="23" customHeight="1">
      <x:c r="A33" s="2" t="str">
        <x:v>ConvNeXt</x:v>
      </x:c>
      <x:c r="B33" s="2" t="str">
        <x:v>Multiclase</x:v>
      </x:c>
      <x:c r="C33" s="9" t="n">
        <x:v>5</x:v>
      </x:c>
      <x:c r="D33" s="9" t="str">
        <x:f>TEXT(AVERAGE('Por semilla'!D145:D149),"0.0000")&amp;" ± "&amp;TEXT(STDEV.P('Por semilla'!D145:D149),"0.0000")</x:f>
        <x:v>0.8729 ± 0.0209</x:v>
      </x:c>
      <x:c r="E33" s="9" t="str">
        <x:f>TEXT(AVERAGE('Por semilla'!E145:E149),"0.0000")&amp;" ± "&amp;TEXT(STDEV.P('Por semilla'!E145:E149),"0.0000")</x:f>
        <x:v>0.5809 ± 0.0576</x:v>
      </x:c>
      <x:c r="F33" s="9" t="str">
        <x:f>TEXT(AVERAGE('Por semilla'!F145:F149),"0.0000")&amp;" ± "&amp;TEXT(STDEV.P('Por semilla'!F145:F149),"0.0000")</x:f>
        <x:v>0.5648 ± 0.0475</x:v>
      </x:c>
      <x:c r="G33" s="9" t="str">
        <x:f>TEXT(AVERAGE('Por semilla'!G145:G149),"0.0000")&amp;" ± "&amp;TEXT(STDEV.P('Por semilla'!G145:G149),"0.0000")</x:f>
        <x:v>0.5648 ± 0.0475</x:v>
      </x:c>
      <x:c r="H33" s="9" t="str">
        <x:f>TEXT(AVERAGE('Por semilla'!H145:H149),"0.0000")&amp;" ± "&amp;TEXT(STDEV.P('Por semilla'!H145:H149),"0.0000")</x:f>
        <x:v>0.5237 ± 0.0586</x:v>
      </x:c>
      <x:c r="I33" s="11" t="str">
        <x:v>Completado</x:v>
      </x:c>
      <x:c r="J33" s="9" t="str">
        <x:f>TEXT(AVERAGE('Por semilla'!J145:J149),"0.0000")&amp;" ± "&amp;TEXT(STDEV.P('Por semilla'!J145:J149),"0.0000")</x:f>
        <x:v>0.5905 ± 0.0583</x:v>
      </x:c>
      <x:c r="K33" s="9" t="str">
        <x:f>TEXT(AVERAGE('Por semilla'!K145:K149),"0.0000")&amp;" ± "&amp;TEXT(STDEV.P('Por semilla'!K145:K149),"0.0000")</x:f>
        <x:v>0.5518 ± 0.0484</x:v>
      </x:c>
      <x:c r="L33" s="9" t="str">
        <x:f>TEXT(AVERAGE('Por semilla'!L145:L149),"0.0000")&amp;" ± "&amp;TEXT(STDEV.P('Por semilla'!L145:L149),"0.0000")</x:f>
        <x:v>0.0809 ± 0.0255</x:v>
      </x:c>
    </x:row>
    <x:row r="34" ht="23" customHeight="1">
      <x:c r="A34" s="8" t="str">
        <x:v>CLIP + DINOv2</x:v>
      </x:c>
      <x:c r="B34" s="8" t="str">
        <x:v>Multiclase</x:v>
      </x:c>
      <x:c r="C34" s="10" t="n">
        <x:v>5</x:v>
      </x:c>
      <x:c r="D34" s="10" t="str">
        <x:f>TEXT(AVERAGE('Por semilla'!D150:D154),"0.0000")&amp;" ± "&amp;TEXT(STDEV.P('Por semilla'!D150:D154),"0.0000")</x:f>
        <x:v>0.9186 ± 0.0094</x:v>
      </x:c>
      <x:c r="E34" s="10" t="str">
        <x:f>TEXT(AVERAGE('Por semilla'!E150:E154),"0.0000")&amp;" ± "&amp;TEXT(STDEV.P('Por semilla'!E150:E154),"0.0000")</x:f>
        <x:v>0.6800 ± 0.0478</x:v>
      </x:c>
      <x:c r="F34" s="10" t="str">
        <x:f>TEXT(AVERAGE('Por semilla'!F150:F154),"0.0000")&amp;" ± "&amp;TEXT(STDEV.P('Por semilla'!F150:F154),"0.0000")</x:f>
        <x:v>0.6441 ± 0.0339</x:v>
      </x:c>
      <x:c r="G34" s="10" t="str">
        <x:f>TEXT(AVERAGE('Por semilla'!G150:G154),"0.0000")&amp;" ± "&amp;TEXT(STDEV.P('Por semilla'!G150:G154),"0.0000")</x:f>
        <x:v>0.6441 ± 0.0339</x:v>
      </x:c>
      <x:c r="H34" s="10" t="str">
        <x:f>TEXT(AVERAGE('Por semilla'!H150:H154),"0.0000")&amp;" ± "&amp;TEXT(STDEV.P('Por semilla'!H150:H154),"0.0000")</x:f>
        <x:v>0.6204 ± 0.0233</x:v>
      </x:c>
      <x:c r="I34" s="12" t="str">
        <x:v>Completado</x:v>
      </x:c>
      <x:c r="J34" s="10" t="str">
        <x:f>TEXT(AVERAGE('Por semilla'!J150:J154),"0.0000")&amp;" ± "&amp;TEXT(STDEV.P('Por semilla'!J150:J154),"0.0000")</x:f>
        <x:v>0.7015 ± 0.0229</x:v>
      </x:c>
      <x:c r="K34" s="10" t="str">
        <x:f>TEXT(AVERAGE('Por semilla'!K150:K154),"0.0000")&amp;" ± "&amp;TEXT(STDEV.P('Por semilla'!K150:K154),"0.0000")</x:f>
        <x:v>0.4532 ± 0.0324</x:v>
      </x:c>
      <x:c r="L34" s="10" t="str">
        <x:f>TEXT(AVERAGE('Por semilla'!L150:L154),"0.0000")&amp;" ± "&amp;TEXT(STDEV.P('Por semilla'!L150:L154),"0.0000")</x:f>
        <x:v>0.1165 ± 0.0246</x:v>
      </x:c>
    </x:row>
    <x:row r="35" ht="23" customHeight="1">
      <x:c r="A35" s="2" t="str">
        <x:v>CLIP + metadata</x:v>
      </x:c>
      <x:c r="B35" s="2" t="str">
        <x:v>Multiclase</x:v>
      </x:c>
      <x:c r="C35" s="9" t="n">
        <x:v>5</x:v>
      </x:c>
      <x:c r="D35" s="9" t="str">
        <x:f>TEXT(AVERAGE('Por semilla'!D155:D159),"0.0000")&amp;" ± "&amp;TEXT(STDEV.P('Por semilla'!D155:D159),"0.0000")</x:f>
        <x:v>0.9346 ± 0.0082</x:v>
      </x:c>
      <x:c r="E35" s="9" t="str">
        <x:f>TEXT(AVERAGE('Por semilla'!E155:E159),"0.0000")&amp;" ± "&amp;TEXT(STDEV.P('Por semilla'!E155:E159),"0.0000")</x:f>
        <x:v>0.7130 ± 0.0420</x:v>
      </x:c>
      <x:c r="F35" s="9" t="str">
        <x:f>TEXT(AVERAGE('Por semilla'!F155:F159),"0.0000")&amp;" ± "&amp;TEXT(STDEV.P('Por semilla'!F155:F159),"0.0000")</x:f>
        <x:v>0.7095 ± 0.0149</x:v>
      </x:c>
      <x:c r="G35" s="9" t="str">
        <x:f>TEXT(AVERAGE('Por semilla'!G155:G159),"0.0000")&amp;" ± "&amp;TEXT(STDEV.P('Por semilla'!G155:G159),"0.0000")</x:f>
        <x:v>0.7095 ± 0.0149</x:v>
      </x:c>
      <x:c r="H35" s="9" t="str">
        <x:f>TEXT(AVERAGE('Por semilla'!H155:H159),"0.0000")&amp;" ± "&amp;TEXT(STDEV.P('Por semilla'!H155:H159),"0.0000")</x:f>
        <x:v>0.6760 ± 0.0173</x:v>
      </x:c>
      <x:c r="I35" s="11" t="str">
        <x:v>Completado</x:v>
      </x:c>
      <x:c r="J35" s="9" t="str">
        <x:f>TEXT(AVERAGE('Por semilla'!J155:J159),"0.0000")&amp;" ± "&amp;TEXT(STDEV.P('Por semilla'!J155:J159),"0.0000")</x:f>
        <x:v>0.7395 ± 0.0452</x:v>
      </x:c>
      <x:c r="K35" s="9" t="str">
        <x:f>TEXT(AVERAGE('Por semilla'!K155:K159),"0.0000")&amp;" ± "&amp;TEXT(STDEV.P('Por semilla'!K155:K159),"0.0000")</x:f>
        <x:v>0.3928 ± 0.0216</x:v>
      </x:c>
      <x:c r="L35" s="9" t="str">
        <x:f>TEXT(AVERAGE('Por semilla'!L155:L159),"0.0000")&amp;" ± "&amp;TEXT(STDEV.P('Por semilla'!L155:L159),"0.0000")</x:f>
        <x:v>0.0915 ± 0.0265</x:v>
      </x:c>
    </x:row>
    <x:row r="36" ht="23" customHeight="1">
      <x:c r="A36" s="8" t="str">
        <x:v>DINOv2 + metadata</x:v>
      </x:c>
      <x:c r="B36" s="8" t="str">
        <x:v>Multiclase</x:v>
      </x:c>
      <x:c r="C36" s="10" t="n">
        <x:v>5</x:v>
      </x:c>
      <x:c r="D36" s="10" t="str">
        <x:f>TEXT(AVERAGE('Por semilla'!D160:D164),"0.0000")&amp;" ± "&amp;TEXT(STDEV.P('Por semilla'!D160:D164),"0.0000")</x:f>
        <x:v>0.9290 ± 0.0105</x:v>
      </x:c>
      <x:c r="E36" s="10" t="str">
        <x:f>TEXT(AVERAGE('Por semilla'!E160:E164),"0.0000")&amp;" ± "&amp;TEXT(STDEV.P('Por semilla'!E160:E164),"0.0000")</x:f>
        <x:v>0.7191 ± 0.0461</x:v>
      </x:c>
      <x:c r="F36" s="10" t="str">
        <x:f>TEXT(AVERAGE('Por semilla'!F160:F164),"0.0000")&amp;" ± "&amp;TEXT(STDEV.P('Por semilla'!F160:F164),"0.0000")</x:f>
        <x:v>0.6807 ± 0.0442</x:v>
      </x:c>
      <x:c r="G36" s="10" t="str">
        <x:f>TEXT(AVERAGE('Por semilla'!G160:G164),"0.0000")&amp;" ± "&amp;TEXT(STDEV.P('Por semilla'!G160:G164),"0.0000")</x:f>
        <x:v>0.6807 ± 0.0442</x:v>
      </x:c>
      <x:c r="H36" s="10" t="str">
        <x:f>TEXT(AVERAGE('Por semilla'!H160:H164),"0.0000")&amp;" ± "&amp;TEXT(STDEV.P('Por semilla'!H160:H164),"0.0000")</x:f>
        <x:v>0.6550 ± 0.0358</x:v>
      </x:c>
      <x:c r="I36" s="12" t="str">
        <x:v>Completado</x:v>
      </x:c>
      <x:c r="J36" s="10" t="str">
        <x:f>TEXT(AVERAGE('Por semilla'!J160:J164),"0.0000")&amp;" ± "&amp;TEXT(STDEV.P('Por semilla'!J160:J164),"0.0000")</x:f>
        <x:v>0.7232 ± 0.0307</x:v>
      </x:c>
      <x:c r="K36" s="10" t="str">
        <x:f>TEXT(AVERAGE('Por semilla'!K160:K164),"0.0000")&amp;" ± "&amp;TEXT(STDEV.P('Por semilla'!K160:K164),"0.0000")</x:f>
        <x:v>0.3966 ± 0.0422</x:v>
      </x:c>
      <x:c r="L36" s="10" t="str">
        <x:f>TEXT(AVERAGE('Por semilla'!L160:L164),"0.0000")&amp;" ± "&amp;TEXT(STDEV.P('Por semilla'!L160:L164),"0.0000")</x:f>
        <x:v>0.1064 ± 0.0268</x:v>
      </x:c>
    </x:row>
    <x:row r="37" ht="23" customHeight="1">
      <x:c r="A37" s="2" t="str">
        <x:v>ConvNeXt + metadata</x:v>
      </x:c>
      <x:c r="B37" s="2" t="str">
        <x:v>Multiclase</x:v>
      </x:c>
      <x:c r="C37" s="9" t="n">
        <x:v>5</x:v>
      </x:c>
      <x:c r="D37" s="9" t="str">
        <x:f>TEXT(AVERAGE('Por semilla'!D165:D169),"0.0000")&amp;" ± "&amp;TEXT(STDEV.P('Por semilla'!D165:D169),"0.0000")</x:f>
        <x:v>0.9207 ± 0.0138</x:v>
      </x:c>
      <x:c r="E37" s="9" t="str">
        <x:f>TEXT(AVERAGE('Por semilla'!E165:E169),"0.0000")&amp;" ± "&amp;TEXT(STDEV.P('Por semilla'!E165:E169),"0.0000")</x:f>
        <x:v>0.6896 ± 0.0512</x:v>
      </x:c>
      <x:c r="F37" s="9" t="str">
        <x:f>TEXT(AVERAGE('Por semilla'!F165:F169),"0.0000")&amp;" ± "&amp;TEXT(STDEV.P('Por semilla'!F165:F169),"0.0000")</x:f>
        <x:v>0.6494 ± 0.0350</x:v>
      </x:c>
      <x:c r="G37" s="9" t="str">
        <x:f>TEXT(AVERAGE('Por semilla'!G165:G169),"0.0000")&amp;" ± "&amp;TEXT(STDEV.P('Por semilla'!G165:G169),"0.0000")</x:f>
        <x:v>0.6494 ± 0.0350</x:v>
      </x:c>
      <x:c r="H37" s="9" t="str">
        <x:f>TEXT(AVERAGE('Por semilla'!H165:H169),"0.0000")&amp;" ± "&amp;TEXT(STDEV.P('Por semilla'!H165:H169),"0.0000")</x:f>
        <x:v>0.6177 ± 0.0566</x:v>
      </x:c>
      <x:c r="I37" s="11" t="str">
        <x:v>Completado</x:v>
      </x:c>
      <x:c r="J37" s="9" t="str">
        <x:f>TEXT(AVERAGE('Por semilla'!J165:J169),"0.0000")&amp;" ± "&amp;TEXT(STDEV.P('Por semilla'!J165:J169),"0.0000")</x:f>
        <x:v>0.6815 ± 0.0468</x:v>
      </x:c>
      <x:c r="K37" s="9" t="str">
        <x:f>TEXT(AVERAGE('Por semilla'!K165:K169),"0.0000")&amp;" ± "&amp;TEXT(STDEV.P('Por semilla'!K165:K169),"0.0000")</x:f>
        <x:v>0.4226 ± 0.0530</x:v>
      </x:c>
      <x:c r="L37" s="9" t="str">
        <x:f>TEXT(AVERAGE('Por semilla'!L165:L169),"0.0000")&amp;" ± "&amp;TEXT(STDEV.P('Por semilla'!L165:L169),"0.0000")</x:f>
        <x:v>0.0765 ± 0.0369</x:v>
      </x:c>
    </x:row>
    <x:row r="38" ht="23" customHeight="1">
      <x:c r="A38" s="8" t="str">
        <x:v>A: CLIP + DINOv2 + metadata</x:v>
      </x:c>
      <x:c r="B38" s="8" t="str">
        <x:v>Multiclase</x:v>
      </x:c>
      <x:c r="C38" s="10" t="n">
        <x:v>5</x:v>
      </x:c>
      <x:c r="D38" s="10" t="str">
        <x:f>TEXT(AVERAGE('Por semilla'!D170:D174),"0.0000")&amp;" ± "&amp;TEXT(STDEV.P('Por semilla'!D170:D174),"0.0000")</x:f>
        <x:v>0.9381 ± 0.0077</x:v>
      </x:c>
      <x:c r="E38" s="10" t="str">
        <x:f>TEXT(AVERAGE('Por semilla'!E170:E174),"0.0000")&amp;" ± "&amp;TEXT(STDEV.P('Por semilla'!E170:E174),"0.0000")</x:f>
        <x:v>0.7383 ± 0.0336</x:v>
      </x:c>
      <x:c r="F38" s="10" t="str">
        <x:f>TEXT(AVERAGE('Por semilla'!F170:F174),"0.0000")&amp;" ± "&amp;TEXT(STDEV.P('Por semilla'!F170:F174),"0.0000")</x:f>
        <x:v>0.7111 ± 0.0336</x:v>
      </x:c>
      <x:c r="G38" s="10" t="str">
        <x:f>TEXT(AVERAGE('Por semilla'!G170:G174),"0.0000")&amp;" ± "&amp;TEXT(STDEV.P('Por semilla'!G170:G174),"0.0000")</x:f>
        <x:v>0.7111 ± 0.0336</x:v>
      </x:c>
      <x:c r="H38" s="10" t="str">
        <x:f>TEXT(AVERAGE('Por semilla'!H170:H174),"0.0000")&amp;" ± "&amp;TEXT(STDEV.P('Por semilla'!H170:H174),"0.0000")</x:f>
        <x:v>0.6870 ± 0.0296</x:v>
      </x:c>
      <x:c r="I38" s="12" t="str">
        <x:v>Completado</x:v>
      </x:c>
      <x:c r="J38" s="10" t="str">
        <x:f>TEXT(AVERAGE('Por semilla'!J170:J174),"0.0000")&amp;" ± "&amp;TEXT(STDEV.P('Por semilla'!J170:J174),"0.0000")</x:f>
        <x:v>0.7511 ± 0.0312</x:v>
      </x:c>
      <x:c r="K38" s="10" t="str">
        <x:f>TEXT(AVERAGE('Por semilla'!K170:K174),"0.0000")&amp;" ± "&amp;TEXT(STDEV.P('Por semilla'!K170:K174),"0.0000")</x:f>
        <x:v>0.3769 ± 0.0178</x:v>
      </x:c>
      <x:c r="L38" s="10" t="str">
        <x:f>TEXT(AVERAGE('Por semilla'!L170:L174),"0.0000")&amp;" ± "&amp;TEXT(STDEV.P('Por semilla'!L170:L174),"0.0000")</x:f>
        <x:v>0.0916 ± 0.0626</x:v>
      </x:c>
    </x:row>
    <x:row r="39" ht="23" customHeight="1">
      <x:c r="A39" s="2" t="str">
        <x:v>B: fusión intermedia</x:v>
      </x:c>
      <x:c r="B39" s="2" t="str">
        <x:v>Multiclase</x:v>
      </x:c>
      <x:c r="C39" s="9" t="n">
        <x:v>5</x:v>
      </x:c>
      <x:c r="D39" s="9" t="str">
        <x:f>TEXT(AVERAGE('Por semilla'!D175:D179),"0.0000")&amp;" ± "&amp;TEXT(STDEV.P('Por semilla'!D175:D179),"0.0000")</x:f>
        <x:v>0.9383 ± 0.0062</x:v>
      </x:c>
      <x:c r="E39" s="9" t="str">
        <x:f>TEXT(AVERAGE('Por semilla'!E175:E179),"0.0000")&amp;" ± "&amp;TEXT(STDEV.P('Por semilla'!E175:E179),"0.0000")</x:f>
        <x:v>0.7339 ± 0.0177</x:v>
      </x:c>
      <x:c r="F39" s="9" t="str">
        <x:f>TEXT(AVERAGE('Por semilla'!F175:F179),"0.0000")&amp;" ± "&amp;TEXT(STDEV.P('Por semilla'!F175:F179),"0.0000")</x:f>
        <x:v>0.7174 ± 0.0353</x:v>
      </x:c>
      <x:c r="G39" s="9" t="str">
        <x:f>TEXT(AVERAGE('Por semilla'!G175:G179),"0.0000")&amp;" ± "&amp;TEXT(STDEV.P('Por semilla'!G175:G179),"0.0000")</x:f>
        <x:v>0.7174 ± 0.0353</x:v>
      </x:c>
      <x:c r="H39" s="9" t="str">
        <x:f>TEXT(AVERAGE('Por semilla'!H175:H179),"0.0000")&amp;" ± "&amp;TEXT(STDEV.P('Por semilla'!H175:H179),"0.0000")</x:f>
        <x:v>0.6884 ± 0.0442</x:v>
      </x:c>
      <x:c r="I39" s="11" t="str">
        <x:v>Completado</x:v>
      </x:c>
      <x:c r="J39" s="9" t="str">
        <x:f>TEXT(AVERAGE('Por semilla'!J175:J179),"0.0000")&amp;" ± "&amp;TEXT(STDEV.P('Por semilla'!J175:J179),"0.0000")</x:f>
        <x:v>0.7408 ± 0.0499</x:v>
      </x:c>
      <x:c r="K39" s="9" t="str">
        <x:f>TEXT(AVERAGE('Por semilla'!K175:K179),"0.0000")&amp;" ± "&amp;TEXT(STDEV.P('Por semilla'!K175:K179),"0.0000")</x:f>
        <x:v>0.3831 ± 0.0194</x:v>
      </x:c>
      <x:c r="L39" s="9" t="str">
        <x:f>TEXT(AVERAGE('Por semilla'!L175:L179),"0.0000")&amp;" ± "&amp;TEXT(STDEV.P('Por semilla'!L175:L179),"0.0000")</x:f>
        <x:v>0.1070 ± 0.0187</x:v>
      </x:c>
    </x:row>
    <x:row r="40" ht="23" customHeight="1">
      <x:c r="A40" s="8" t="str">
        <x:v>B solo metadata, misma capacidad</x:v>
      </x:c>
      <x:c r="B40" s="8" t="str">
        <x:v>Multiclase</x:v>
      </x:c>
      <x:c r="C40" s="10" t="n">
        <x:v>5</x:v>
      </x:c>
      <x:c r="D40" s="10" t="str">
        <x:f>TEXT(AVERAGE('Por semilla'!D180:D184),"0.0000")&amp;" ± "&amp;TEXT(STDEV.P('Por semilla'!D180:D184),"0.0000")</x:f>
        <x:v>0.8907 ± 0.0197</x:v>
      </x:c>
      <x:c r="E40" s="10" t="str">
        <x:f>TEXT(AVERAGE('Por semilla'!E180:E184),"0.0000")&amp;" ± "&amp;TEXT(STDEV.P('Por semilla'!E180:E184),"0.0000")</x:f>
        <x:v>0.5843 ± 0.0701</x:v>
      </x:c>
      <x:c r="F40" s="10" t="str">
        <x:f>TEXT(AVERAGE('Por semilla'!F180:F184),"0.0000")&amp;" ± "&amp;TEXT(STDEV.P('Por semilla'!F180:F184),"0.0000")</x:f>
        <x:v>0.5549 ± 0.0572</x:v>
      </x:c>
      <x:c r="G40" s="10" t="str">
        <x:f>TEXT(AVERAGE('Por semilla'!G180:G184),"0.0000")&amp;" ± "&amp;TEXT(STDEV.P('Por semilla'!G180:G184),"0.0000")</x:f>
        <x:v>0.5549 ± 0.0572</x:v>
      </x:c>
      <x:c r="H40" s="10" t="str">
        <x:f>TEXT(AVERAGE('Por semilla'!H180:H184),"0.0000")&amp;" ± "&amp;TEXT(STDEV.P('Por semilla'!H180:H184),"0.0000")</x:f>
        <x:v>0.5039 ± 0.0744</x:v>
      </x:c>
      <x:c r="I40" s="12" t="str">
        <x:v>Completado</x:v>
      </x:c>
      <x:c r="J40" s="10" t="str">
        <x:f>TEXT(AVERAGE('Por semilla'!J180:J184),"0.0000")&amp;" ± "&amp;TEXT(STDEV.P('Por semilla'!J180:J184),"0.0000")</x:f>
        <x:v>0.5919 ± 0.0651</x:v>
      </x:c>
      <x:c r="K40" s="10" t="str">
        <x:f>TEXT(AVERAGE('Por semilla'!K180:K184),"0.0000")&amp;" ± "&amp;TEXT(STDEV.P('Por semilla'!K180:K184),"0.0000")</x:f>
        <x:v>0.5427 ± 0.0600</x:v>
      </x:c>
      <x:c r="L40" s="10" t="str">
        <x:f>TEXT(AVERAGE('Por semilla'!L180:L184),"0.0000")&amp;" ± "&amp;TEXT(STDEV.P('Por semilla'!L180:L184),"0.0000")</x:f>
        <x:v>0.1108 ± 0.0358</x:v>
      </x:c>
    </x:row>
    <x:row r="41" ht="23" customHeight="1">
      <x:c r="A41" s="2" t="str">
        <x:v>B solo imágenes, misma capacidad</x:v>
      </x:c>
      <x:c r="B41" s="2" t="str">
        <x:v>Multiclase</x:v>
      </x:c>
      <x:c r="C41" s="9" t="n">
        <x:v>5</x:v>
      </x:c>
      <x:c r="D41" s="9" t="str">
        <x:f>TEXT(AVERAGE('Por semilla'!D185:D189),"0.0000")&amp;" ± "&amp;TEXT(STDEV.P('Por semilla'!D185:D189),"0.0000")</x:f>
        <x:v>0.9203 ± 0.0071</x:v>
      </x:c>
      <x:c r="E41" s="9" t="str">
        <x:f>TEXT(AVERAGE('Por semilla'!E185:E189),"0.0000")&amp;" ± "&amp;TEXT(STDEV.P('Por semilla'!E185:E189),"0.0000")</x:f>
        <x:v>0.6565 ± 0.0584</x:v>
      </x:c>
      <x:c r="F41" s="9" t="str">
        <x:f>TEXT(AVERAGE('Por semilla'!F185:F189),"0.0000")&amp;" ± "&amp;TEXT(STDEV.P('Por semilla'!F185:F189),"0.0000")</x:f>
        <x:v>0.6343 ± 0.0340</x:v>
      </x:c>
      <x:c r="G41" s="9" t="str">
        <x:f>TEXT(AVERAGE('Por semilla'!G185:G189),"0.0000")&amp;" ± "&amp;TEXT(STDEV.P('Por semilla'!G185:G189),"0.0000")</x:f>
        <x:v>0.6343 ± 0.0340</x:v>
      </x:c>
      <x:c r="H41" s="9" t="str">
        <x:f>TEXT(AVERAGE('Por semilla'!H185:H189),"0.0000")&amp;" ± "&amp;TEXT(STDEV.P('Por semilla'!H185:H189),"0.0000")</x:f>
        <x:v>0.6181 ± 0.0498</x:v>
      </x:c>
      <x:c r="I41" s="11" t="str">
        <x:v>Completado</x:v>
      </x:c>
      <x:c r="J41" s="9" t="str">
        <x:f>TEXT(AVERAGE('Por semilla'!J185:J189),"0.0000")&amp;" ± "&amp;TEXT(STDEV.P('Por semilla'!J185:J189),"0.0000")</x:f>
        <x:v>0.7069 ± 0.0232</x:v>
      </x:c>
      <x:c r="K41" s="9" t="str">
        <x:f>TEXT(AVERAGE('Por semilla'!K185:K189),"0.0000")&amp;" ± "&amp;TEXT(STDEV.P('Por semilla'!K185:K189),"0.0000")</x:f>
        <x:v>0.4577 ± 0.0484</x:v>
      </x:c>
      <x:c r="L41" s="9" t="str">
        <x:f>TEXT(AVERAGE('Por semilla'!L185:L189),"0.0000")&amp;" ± "&amp;TEXT(STDEV.P('Por semilla'!L185:L189),"0.0000")</x:f>
        <x:v>0.0927 ± 0.0348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45" hidden="0" customWidth="1"/>
    <x:col min="3" max="3" width="45" hidden="0" customWidth="1"/>
    <x:col min="4" max="4" width="23" hidden="0" customWidth="1"/>
    <x:col min="5" max="5" width="23" hidden="0" customWidth="1"/>
    <x:col min="6" max="6" width="23" hidden="0" customWidth="1"/>
    <x:col min="7" max="7" width="15" hidden="0" customWidth="1"/>
    <x:col min="8" max="8" width="26" hidden="0" customWidth="1"/>
  </x:cols>
  <x:sheetData>
    <x:row r="1" ht="29" customHeight="1">
      <x:c r="A1" s="3" t="str">
        <x:v>Aporte incremental de cada modalidad</x:v>
      </x:c>
      <x:c r="B1" s="2"/>
      <x:c r="C1" s="2"/>
      <x:c r="D1" s="2"/>
      <x:c r="E1" s="2"/>
      <x:c r="F1" s="2"/>
      <x:c r="G1" s="2"/>
      <x:c r="H1" s="2"/>
    </x:row>
    <x:row r="2" ht="23" customHeight="1">
      <x:c r="A2" s="4" t="str">
        <x:v>Diferencias en puntos porcentuales. Binaria: AUC. Multiclase: BACC.</x:v>
      </x:c>
      <x:c r="B2" s="2"/>
      <x:c r="C2" s="2"/>
      <x:c r="D2" s="2"/>
      <x:c r="E2" s="2"/>
      <x:c r="F2" s="2"/>
      <x:c r="G2" s="2"/>
      <x:c r="H2" s="2"/>
    </x:row>
    <x:row r="3" ht="23" customHeight="1">
      <x:c r="A3" s="4" t="str">
        <x:v>IC condicionales a modelos fijos. Bootstrap por paciente: 2000 draws. Cuatro contrastes principales con ajuste simultáneo.</x:v>
      </x:c>
      <x:c r="B3" s="2"/>
      <x:c r="C3" s="2"/>
      <x:c r="D3" s="2"/>
      <x:c r="E3" s="2"/>
      <x:c r="F3" s="2"/>
      <x:c r="G3" s="2"/>
      <x:c r="H3" s="2"/>
    </x:row>
    <x:row r="4" ht="32" customHeight="1">
      <x:c r="A4" s="7" t="str">
        <x:v>Tarea</x:v>
      </x:c>
      <x:c r="B4" s="7" t="str">
        <x:v>Modelo</x:v>
      </x:c>
      <x:c r="C4" s="7" t="str">
        <x:v>Referencia</x:v>
      </x:c>
      <x:c r="D4" s="7" t="str">
        <x:v>Ganancia (pp)</x:v>
      </x:c>
      <x:c r="E4" s="7" t="str">
        <x:v>IC95 inferior (pp)</x:v>
      </x:c>
      <x:c r="F4" s="7" t="str">
        <x:v>IC95 superior (pp)</x:v>
      </x:c>
      <x:c r="G4" s="7" t="str">
        <x:v>Positivas / 5</x:v>
      </x:c>
      <x:c r="H4" s="7" t="str">
        <x:v>Intervalo</x:v>
      </x:c>
    </x:row>
    <x:row r="5" ht="23" customHeight="1">
      <x:c r="A5" s="2" t="str">
        <x:v>Binaria</x:v>
      </x:c>
      <x:c r="B5" s="2" t="str">
        <x:v>A: CLIP + DINOv2 + metadata</x:v>
      </x:c>
      <x:c r="C5" s="2" t="str">
        <x:v>Metadata elegida con validación</x:v>
      </x:c>
      <x:c r="D5" s="23" t="n">
        <x:f>100*(AVERAGE('Por semilla'!D70:D74)-AVERAGE('Por semilla'!D20:D24))</x:f>
        <x:v>0.8108979613238643</x:v>
      </x:c>
      <x:c r="E5" s="23" t="n">
        <x:v>-0.7567566563675628</x:v>
      </x:c>
      <x:c r="F5" s="23" t="n">
        <x:v>2.3785525790152913</x:v>
      </x:c>
      <x:c r="G5" s="11" t="n">
        <x:v>2</x:v>
      </x:c>
      <x:c r="H5" s="11" t="str">
        <x:v>Simultáneo (principal)</x:v>
      </x:c>
    </x:row>
    <x:row r="6" ht="23" customHeight="1">
      <x:c r="A6" s="8" t="str">
        <x:v>Binaria</x:v>
      </x:c>
      <x:c r="B6" s="8" t="str">
        <x:v>B BCE</x:v>
      </x:c>
      <x:c r="C6" s="8" t="str">
        <x:v>Metadata elegida con validación</x:v>
      </x:c>
      <x:c r="D6" s="24" t="n">
        <x:f>100*(AVERAGE('Por semilla'!D85:D89)-AVERAGE('Por semilla'!D20:D24))</x:f>
        <x:v>1.1597572409861479</x:v>
      </x:c>
      <x:c r="E6" s="24" t="n">
        <x:v>-0.31692259269528245</x:v>
      </x:c>
      <x:c r="F6" s="24" t="n">
        <x:v>2.6364370746675783</x:v>
      </x:c>
      <x:c r="G6" s="12" t="n">
        <x:v>3</x:v>
      </x:c>
      <x:c r="H6" s="12" t="str">
        <x:v>Simultáneo (principal)</x:v>
      </x:c>
    </x:row>
    <x:row r="7" ht="23" customHeight="1">
      <x:c r="A7" s="2" t="str">
        <x:v>Multiclase</x:v>
      </x:c>
      <x:c r="B7" s="2" t="str">
        <x:v>A: CLIP + DINOv2 + metadata</x:v>
      </x:c>
      <x:c r="C7" s="2" t="str">
        <x:v>Metadata elegida con validación</x:v>
      </x:c>
      <x:c r="D7" s="23" t="n">
        <x:f>100*(AVERAGE('Por semilla'!F170:F174)-AVERAGE('Por semilla'!F120:F124))</x:f>
        <x:v>11.26062226506016</x:v>
      </x:c>
      <x:c r="E7" s="23" t="n">
        <x:v>5.1333116127078595</x:v>
      </x:c>
      <x:c r="F7" s="23" t="n">
        <x:v>17.387932917412463</x:v>
      </x:c>
      <x:c r="G7" s="11" t="n">
        <x:v>5</x:v>
      </x:c>
      <x:c r="H7" s="11" t="str">
        <x:v>Simultáneo (principal)</x:v>
      </x:c>
    </x:row>
    <x:row r="8" ht="23" customHeight="1">
      <x:c r="A8" s="8" t="str">
        <x:v>Multiclase</x:v>
      </x:c>
      <x:c r="B8" s="8" t="str">
        <x:v>B: fusión intermedia</x:v>
      </x:c>
      <x:c r="C8" s="8" t="str">
        <x:v>Metadata elegida con validación</x:v>
      </x:c>
      <x:c r="D8" s="24" t="n">
        <x:f>100*(AVERAGE('Por semilla'!F175:F179)-AVERAGE('Por semilla'!F120:F124))</x:f>
        <x:v>11.890131468823173</x:v>
      </x:c>
      <x:c r="E8" s="24" t="n">
        <x:v>5.57326429009862</x:v>
      </x:c>
      <x:c r="F8" s="24" t="n">
        <x:v>18.206998647547724</x:v>
      </x:c>
      <x:c r="G8" s="12" t="n">
        <x:v>5</x:v>
      </x:c>
      <x:c r="H8" s="12" t="str">
        <x:v>Simultáneo (principal)</x:v>
      </x:c>
    </x:row>
    <x:row r="9" ht="23" customHeight="1">
      <x:c r="A9" s="2" t="str">
        <x:v>Binaria</x:v>
      </x:c>
      <x:c r="B9" s="2" t="str">
        <x:v>CLIP</x:v>
      </x:c>
      <x:c r="C9" s="2" t="str">
        <x:v>Metadata elegida con validación</x:v>
      </x:c>
      <x:c r="D9" s="23" t="n">
        <x:f>100*(AVERAGE('Por semilla'!D35:D39)-AVERAGE('Por semilla'!D20:D24))</x:f>
        <x:v>-4.028185193517631</x:v>
      </x:c>
      <x:c r="E9" s="23" t="n">
        <x:v>-6.370828908435611</x:v>
      </x:c>
      <x:c r="F9" s="23" t="n">
        <x:v>-1.8967213404600756</x:v>
      </x:c>
      <x:c r="G9" s="11" t="n">
        <x:v>0</x:v>
      </x:c>
      <x:c r="H9" s="11" t="str">
        <x:v>Exploratorio</x:v>
      </x:c>
    </x:row>
    <x:row r="10" ht="23" customHeight="1">
      <x:c r="A10" s="8" t="str">
        <x:v>Binaria</x:v>
      </x:c>
      <x:c r="B10" s="8" t="str">
        <x:v>DINOv2</x:v>
      </x:c>
      <x:c r="C10" s="8" t="str">
        <x:v>Metadata elegida con validación</x:v>
      </x:c>
      <x:c r="D10" s="24" t="n">
        <x:f>100*(AVERAGE('Por semilla'!D40:D44)-AVERAGE('Por semilla'!D20:D24))</x:f>
        <x:v>-6.077665558910173</x:v>
      </x:c>
      <x:c r="E10" s="24" t="n">
        <x:v>-8.491440709721875</x:v>
      </x:c>
      <x:c r="F10" s="24" t="n">
        <x:v>-3.678212236893096</x:v>
      </x:c>
      <x:c r="G10" s="12" t="n">
        <x:v>0</x:v>
      </x:c>
      <x:c r="H10" s="12" t="str">
        <x:v>Exploratorio</x:v>
      </x:c>
    </x:row>
    <x:row r="11" ht="23" customHeight="1">
      <x:c r="A11" s="2" t="str">
        <x:v>Binaria</x:v>
      </x:c>
      <x:c r="B11" s="2" t="str">
        <x:v>ConvNeXt</x:v>
      </x:c>
      <x:c r="C11" s="2" t="str">
        <x:v>Metadata elegida con validación</x:v>
      </x:c>
      <x:c r="D11" s="23" t="n">
        <x:f>100*(AVERAGE('Por semilla'!D45:D49)-AVERAGE('Por semilla'!D20:D24))</x:f>
        <x:v>-7.635231929811415</x:v>
      </x:c>
      <x:c r="E11" s="23" t="n">
        <x:v>-10.460334943832112</x:v>
      </x:c>
      <x:c r="F11" s="23" t="n">
        <x:v>-4.927645584431914</x:v>
      </x:c>
      <x:c r="G11" s="11" t="n">
        <x:v>0</x:v>
      </x:c>
      <x:c r="H11" s="11" t="str">
        <x:v>Exploratorio</x:v>
      </x:c>
    </x:row>
    <x:row r="12" ht="23" customHeight="1">
      <x:c r="A12" s="8" t="str">
        <x:v>Binaria</x:v>
      </x:c>
      <x:c r="B12" s="8" t="str">
        <x:v>CLIP + DINOv2</x:v>
      </x:c>
      <x:c r="C12" s="8" t="str">
        <x:v>Metadata elegida con validación</x:v>
      </x:c>
      <x:c r="D12" s="24" t="n">
        <x:f>100*(AVERAGE('Por semilla'!D50:D54)-AVERAGE('Por semilla'!D20:D24))</x:f>
        <x:v>-3.7900885579107646</x:v>
      </x:c>
      <x:c r="E12" s="24" t="n">
        <x:v>-6.078441348964469</x:v>
      </x:c>
      <x:c r="F12" s="24" t="n">
        <x:v>-1.7237825500984176</x:v>
      </x:c>
      <x:c r="G12" s="12" t="n">
        <x:v>1</x:v>
      </x:c>
      <x:c r="H12" s="12" t="str">
        <x:v>Exploratorio</x:v>
      </x:c>
    </x:row>
    <x:row r="13" ht="23" customHeight="1">
      <x:c r="A13" s="2" t="str">
        <x:v>Binaria</x:v>
      </x:c>
      <x:c r="B13" s="2" t="str">
        <x:v>CLIP + metadata</x:v>
      </x:c>
      <x:c r="C13" s="2" t="str">
        <x:v>Metadata elegida con validación</x:v>
      </x:c>
      <x:c r="D13" s="23" t="n">
        <x:f>100*(AVERAGE('Por semilla'!D55:D59)-AVERAGE('Por semilla'!D20:D24))</x:f>
        <x:v>0.7185612120051976</x:v>
      </x:c>
      <x:c r="E13" s="23" t="n">
        <x:v>-0.4212934128986873</x:v>
      </x:c>
      <x:c r="F13" s="23" t="n">
        <x:v>1.8253028285473736</x:v>
      </x:c>
      <x:c r="G13" s="11" t="n">
        <x:v>3</x:v>
      </x:c>
      <x:c r="H13" s="11" t="str">
        <x:v>Exploratorio</x:v>
      </x:c>
    </x:row>
    <x:row r="14" ht="23" customHeight="1">
      <x:c r="A14" s="8" t="str">
        <x:v>Binaria</x:v>
      </x:c>
      <x:c r="B14" s="8" t="str">
        <x:v>DINOv2 + metadata</x:v>
      </x:c>
      <x:c r="C14" s="8" t="str">
        <x:v>Metadata elegida con validación</x:v>
      </x:c>
      <x:c r="D14" s="24" t="n">
        <x:f>100*(AVERAGE('Por semilla'!D60:D64)-AVERAGE('Por semilla'!D20:D24))</x:f>
        <x:v>0.47786379083635255</x:v>
      </x:c>
      <x:c r="E14" s="24" t="n">
        <x:v>-0.733864501657199</x:v>
      </x:c>
      <x:c r="F14" s="24" t="n">
        <x:v>1.6366836654093424</x:v>
      </x:c>
      <x:c r="G14" s="12" t="n">
        <x:v>2</x:v>
      </x:c>
      <x:c r="H14" s="12" t="str">
        <x:v>Exploratorio</x:v>
      </x:c>
    </x:row>
    <x:row r="15" ht="23" customHeight="1">
      <x:c r="A15" s="2" t="str">
        <x:v>Binaria</x:v>
      </x:c>
      <x:c r="B15" s="2" t="str">
        <x:v>ConvNeXt + metadata</x:v>
      </x:c>
      <x:c r="C15" s="2" t="str">
        <x:v>Metadata elegida con validación</x:v>
      </x:c>
      <x:c r="D15" s="23" t="n">
        <x:f>100*(AVERAGE('Por semilla'!D65:D69)-AVERAGE('Por semilla'!D20:D24))</x:f>
        <x:v>0.25427034994434106</x:v>
      </x:c>
      <x:c r="E15" s="23" t="n">
        <x:v>-0.8639583330616725</x:v>
      </x:c>
      <x:c r="F15" s="23" t="n">
        <x:v>1.300122682856791</x:v>
      </x:c>
      <x:c r="G15" s="11" t="n">
        <x:v>2</x:v>
      </x:c>
      <x:c r="H15" s="11" t="str">
        <x:v>Exploratorio</x:v>
      </x:c>
    </x:row>
    <x:row r="16" ht="23" customHeight="1">
      <x:c r="A16" s="8" t="str">
        <x:v>Binaria</x:v>
      </x:c>
      <x:c r="B16" s="8" t="str">
        <x:v>B: fusión intermedia</x:v>
      </x:c>
      <x:c r="C16" s="8" t="str">
        <x:v>Metadata elegida con validación</x:v>
      </x:c>
      <x:c r="D16" s="24" t="n">
        <x:f>100*(AVERAGE('Por semilla'!D75:D79)-AVERAGE('Por semilla'!D20:D24))</x:f>
        <x:v>1.3008781121211066</x:v>
      </x:c>
      <x:c r="E16" s="24" t="n">
        <x:v>0.24525602923642448</x:v>
      </x:c>
      <x:c r="F16" s="24" t="n">
        <x:v>2.391055098951776</x:v>
      </x:c>
      <x:c r="G16" s="12" t="n">
        <x:v>4</x:v>
      </x:c>
      <x:c r="H16" s="12" t="str">
        <x:v>Exploratorio</x:v>
      </x:c>
    </x:row>
    <x:row r="17" ht="23" customHeight="1">
      <x:c r="A17" s="2" t="str">
        <x:v>Binaria</x:v>
      </x:c>
      <x:c r="B17" s="2" t="str">
        <x:v>A focal</x:v>
      </x:c>
      <x:c r="C17" s="2" t="str">
        <x:v>Metadata elegida con validación</x:v>
      </x:c>
      <x:c r="D17" s="23" t="n">
        <x:f>100*(AVERAGE('Por semilla'!D80:D84)-AVERAGE('Por semilla'!D20:D24))</x:f>
        <x:v>1.1492425773110604</x:v>
      </x:c>
      <x:c r="E17" s="23" t="n">
        <x:v>0.01160868899749535</x:v>
      </x:c>
      <x:c r="F17" s="23" t="n">
        <x:v>2.3181634352165816</x:v>
      </x:c>
      <x:c r="G17" s="11" t="n">
        <x:v>3</x:v>
      </x:c>
      <x:c r="H17" s="11" t="str">
        <x:v>Exploratorio</x:v>
      </x:c>
    </x:row>
    <x:row r="18" ht="23" customHeight="1">
      <x:c r="A18" s="8" t="str">
        <x:v>Binaria</x:v>
      </x:c>
      <x:c r="B18" s="8" t="str">
        <x:v>CLIP + metadata</x:v>
      </x:c>
      <x:c r="C18" s="8" t="str">
        <x:v>CLIP</x:v>
      </x:c>
      <x:c r="D18" s="24" t="n">
        <x:f>100*(AVERAGE('Por semilla'!D55:D59)-AVERAGE('Por semilla'!D35:D39))</x:f>
        <x:v>4.746746405522828</x:v>
      </x:c>
      <x:c r="E18" s="24" t="n">
        <x:v>2.992791787313497</x:v>
      </x:c>
      <x:c r="F18" s="24" t="n">
        <x:v>6.7125771273048835</x:v>
      </x:c>
      <x:c r="G18" s="12" t="n">
        <x:v>5</x:v>
      </x:c>
      <x:c r="H18" s="12" t="str">
        <x:v>Exploratorio</x:v>
      </x:c>
    </x:row>
    <x:row r="19" ht="23" customHeight="1">
      <x:c r="A19" s="2" t="str">
        <x:v>Binaria</x:v>
      </x:c>
      <x:c r="B19" s="2" t="str">
        <x:v>DINOv2 + metadata</x:v>
      </x:c>
      <x:c r="C19" s="2" t="str">
        <x:v>DINOv2</x:v>
      </x:c>
      <x:c r="D19" s="23" t="n">
        <x:f>100*(AVERAGE('Por semilla'!D60:D64)-AVERAGE('Por semilla'!D40:D44))</x:f>
        <x:v>6.555529349746525</x:v>
      </x:c>
      <x:c r="E19" s="23" t="n">
        <x:v>4.610002824282447</x:v>
      </x:c>
      <x:c r="F19" s="23" t="n">
        <x:v>8.681645386452647</x:v>
      </x:c>
      <x:c r="G19" s="11" t="n">
        <x:v>5</x:v>
      </x:c>
      <x:c r="H19" s="11" t="str">
        <x:v>Exploratorio</x:v>
      </x:c>
    </x:row>
    <x:row r="20" ht="23" customHeight="1">
      <x:c r="A20" s="8" t="str">
        <x:v>Binaria</x:v>
      </x:c>
      <x:c r="B20" s="8" t="str">
        <x:v>ConvNeXt + metadata</x:v>
      </x:c>
      <x:c r="C20" s="8" t="str">
        <x:v>ConvNeXt</x:v>
      </x:c>
      <x:c r="D20" s="24" t="n">
        <x:f>100*(AVERAGE('Por semilla'!D65:D69)-AVERAGE('Por semilla'!D45:D49))</x:f>
        <x:v>7.889502279755756</x:v>
      </x:c>
      <x:c r="E20" s="24" t="n">
        <x:v>5.62575814552469</x:v>
      </x:c>
      <x:c r="F20" s="24" t="n">
        <x:v>10.36605778186552</x:v>
      </x:c>
      <x:c r="G20" s="12" t="n">
        <x:v>5</x:v>
      </x:c>
      <x:c r="H20" s="12" t="str">
        <x:v>Exploratorio</x:v>
      </x:c>
    </x:row>
    <x:row r="21" ht="23" customHeight="1">
      <x:c r="A21" s="2" t="str">
        <x:v>Binaria</x:v>
      </x:c>
      <x:c r="B21" s="2" t="str">
        <x:v>A: CLIP + DINOv2 + metadata</x:v>
      </x:c>
      <x:c r="C21" s="2" t="str">
        <x:v>CLIP + DINOv2</x:v>
      </x:c>
      <x:c r="D21" s="23" t="n">
        <x:f>100*(AVERAGE('Por semilla'!D70:D74)-AVERAGE('Por semilla'!D50:D54))</x:f>
        <x:v>4.600986519234629</x:v>
      </x:c>
      <x:c r="E21" s="23" t="n">
        <x:v>2.775387716707351</x:v>
      </x:c>
      <x:c r="F21" s="23" t="n">
        <x:v>6.603352447218722</x:v>
      </x:c>
      <x:c r="G21" s="11" t="n">
        <x:v>5</x:v>
      </x:c>
      <x:c r="H21" s="11" t="str">
        <x:v>Exploratorio</x:v>
      </x:c>
    </x:row>
    <x:row r="22" ht="23" customHeight="1">
      <x:c r="A22" s="8" t="str">
        <x:v>Binaria</x:v>
      </x:c>
      <x:c r="B22" s="8" t="str">
        <x:v>B: fusión intermedia</x:v>
      </x:c>
      <x:c r="C22" s="8" t="str">
        <x:v>CLIP + DINOv2</x:v>
      </x:c>
      <x:c r="D22" s="24" t="n">
        <x:f>100*(AVERAGE('Por semilla'!D75:D79)-AVERAGE('Por semilla'!D50:D54))</x:f>
        <x:v>5.090966670031872</x:v>
      </x:c>
      <x:c r="E22" s="24" t="n">
        <x:v>3.271992677658292</x:v>
      </x:c>
      <x:c r="F22" s="24" t="n">
        <x:v>6.996983082199526</x:v>
      </x:c>
      <x:c r="G22" s="12" t="n">
        <x:v>5</x:v>
      </x:c>
      <x:c r="H22" s="12" t="str">
        <x:v>Exploratorio</x:v>
      </x:c>
    </x:row>
    <x:row r="23" ht="23" customHeight="1">
      <x:c r="A23" s="2" t="str">
        <x:v>Binaria</x:v>
      </x:c>
      <x:c r="B23" s="2" t="str">
        <x:v>A focal</x:v>
      </x:c>
      <x:c r="C23" s="2" t="str">
        <x:v>CLIP + DINOv2</x:v>
      </x:c>
      <x:c r="D23" s="23" t="n">
        <x:f>100*(AVERAGE('Por semilla'!D80:D84)-AVERAGE('Por semilla'!D50:D54))</x:f>
        <x:v>4.939331135221825</x:v>
      </x:c>
      <x:c r="E23" s="23" t="n">
        <x:v>3.0851272614543976</x:v>
      </x:c>
      <x:c r="F23" s="23" t="n">
        <x:v>6.99788068930145</x:v>
      </x:c>
      <x:c r="G23" s="11" t="n">
        <x:v>5</x:v>
      </x:c>
      <x:c r="H23" s="11" t="str">
        <x:v>Exploratorio</x:v>
      </x:c>
    </x:row>
    <x:row r="24" ht="23" customHeight="1">
      <x:c r="A24" s="8" t="str">
        <x:v>Binaria</x:v>
      </x:c>
      <x:c r="B24" s="8" t="str">
        <x:v>B BCE</x:v>
      </x:c>
      <x:c r="C24" s="8" t="str">
        <x:v>CLIP + DINOv2</x:v>
      </x:c>
      <x:c r="D24" s="24" t="n">
        <x:f>100*(AVERAGE('Por semilla'!D85:D89)-AVERAGE('Por semilla'!D50:D54))</x:f>
        <x:v>4.949845798896913</x:v>
      </x:c>
      <x:c r="E24" s="24" t="n">
        <x:v>3.1580081314582413</x:v>
      </x:c>
      <x:c r="F24" s="24" t="n">
        <x:v>6.9505561523065085</x:v>
      </x:c>
      <x:c r="G24" s="12" t="n">
        <x:v>5</x:v>
      </x:c>
      <x:c r="H24" s="12" t="str">
        <x:v>Exploratorio</x:v>
      </x:c>
    </x:row>
    <x:row r="25" ht="23" customHeight="1">
      <x:c r="A25" s="2" t="str">
        <x:v>Binaria</x:v>
      </x:c>
      <x:c r="B25" s="2" t="str">
        <x:v>B: fusión intermedia</x:v>
      </x:c>
      <x:c r="C25" s="2" t="str">
        <x:v>B solo metadata, misma capacidad</x:v>
      </x:c>
      <x:c r="D25" s="23" t="n">
        <x:f>100*(AVERAGE('Por semilla'!D75:D79)-AVERAGE('Por semilla'!D95:D99))</x:f>
        <x:v>0.8712732911177135</x:v>
      </x:c>
      <x:c r="E25" s="23" t="n">
        <x:v>-0.06292344989604653</x:v>
      </x:c>
      <x:c r="F25" s="23" t="n">
        <x:v>1.760356246884913</x:v>
      </x:c>
      <x:c r="G25" s="11" t="n">
        <x:v>5</x:v>
      </x:c>
      <x:c r="H25" s="11" t="str">
        <x:v>Exploratorio</x:v>
      </x:c>
    </x:row>
    <x:row r="26" ht="23" customHeight="1">
      <x:c r="A26" s="8" t="str">
        <x:v>Binaria</x:v>
      </x:c>
      <x:c r="B26" s="8" t="str">
        <x:v>B: fusión intermedia</x:v>
      </x:c>
      <x:c r="C26" s="8" t="str">
        <x:v>B solo imágenes, misma capacidad</x:v>
      </x:c>
      <x:c r="D26" s="24" t="n">
        <x:f>100*(AVERAGE('Por semilla'!D75:D79)-AVERAGE('Por semilla'!D100:D104))</x:f>
        <x:v>4.714731124256133</x:v>
      </x:c>
      <x:c r="E26" s="24" t="n">
        <x:v>2.9762342262207584</x:v>
      </x:c>
      <x:c r="F26" s="24" t="n">
        <x:v>6.52124263788897</x:v>
      </x:c>
      <x:c r="G26" s="12" t="n">
        <x:v>5</x:v>
      </x:c>
      <x:c r="H26" s="12" t="str">
        <x:v>Exploratorio</x:v>
      </x:c>
    </x:row>
    <x:row r="27" ht="23" customHeight="1">
      <x:c r="A27" s="2" t="str">
        <x:v>Binaria</x:v>
      </x:c>
      <x:c r="B27" s="2" t="str">
        <x:v>B BCE</x:v>
      </x:c>
      <x:c r="C27" s="2" t="str">
        <x:v>A: CLIP + DINOv2 + metadata</x:v>
      </x:c>
      <x:c r="D27" s="23" t="n">
        <x:f>100*(AVERAGE('Por semilla'!D85:D89)-AVERAGE('Por semilla'!D70:D74))</x:f>
        <x:v>0.3488592796622836</x:v>
      </x:c>
      <x:c r="E27" s="23" t="n">
        <x:v>-0.2195045572054613</x:v>
      </x:c>
      <x:c r="F27" s="23" t="n">
        <x:v>0.9938074900034812</x:v>
      </x:c>
      <x:c r="G27" s="11" t="n">
        <x:v>4</x:v>
      </x:c>
      <x:c r="H27" s="11" t="str">
        <x:v>Exploratorio</x:v>
      </x:c>
    </x:row>
    <x:row r="28" ht="23" customHeight="1">
      <x:c r="A28" s="8" t="str">
        <x:v>Binaria</x:v>
      </x:c>
      <x:c r="B28" s="8" t="str">
        <x:v>B: fusión intermedia</x:v>
      </x:c>
      <x:c r="C28" s="8" t="str">
        <x:v>A focal</x:v>
      </x:c>
      <x:c r="D28" s="24" t="n">
        <x:f>100*(AVERAGE('Por semilla'!D75:D79)-AVERAGE('Por semilla'!D80:D84))</x:f>
        <x:v>0.1516355348100462</x:v>
      </x:c>
      <x:c r="E28" s="24" t="n">
        <x:v>-0.5221353453074973</x:v>
      </x:c>
      <x:c r="F28" s="24" t="n">
        <x:v>0.8983289721467246</x:v>
      </x:c>
      <x:c r="G28" s="12" t="n">
        <x:v>3</x:v>
      </x:c>
      <x:c r="H28" s="12" t="str">
        <x:v>Exploratorio</x:v>
      </x:c>
    </x:row>
    <x:row r="29" ht="23" customHeight="1">
      <x:c r="A29" s="2" t="str">
        <x:v>Binaria</x:v>
      </x:c>
      <x:c r="B29" s="2" t="str">
        <x:v>A focal</x:v>
      </x:c>
      <x:c r="C29" s="2" t="str">
        <x:v>A: CLIP + DINOv2 + metadata</x:v>
      </x:c>
      <x:c r="D29" s="23" t="n">
        <x:f>100*(AVERAGE('Por semilla'!D80:D84)-AVERAGE('Por semilla'!D70:D74))</x:f>
        <x:v>0.3383446159871961</x:v>
      </x:c>
      <x:c r="E29" s="23" t="n">
        <x:v>-0.13011244757367812</x:v>
      </x:c>
      <x:c r="F29" s="23" t="n">
        <x:v>0.8188234621450552</x:v>
      </x:c>
      <x:c r="G29" s="11" t="n">
        <x:v>5</x:v>
      </x:c>
      <x:c r="H29" s="11" t="str">
        <x:v>Exploratorio</x:v>
      </x:c>
    </x:row>
    <x:row r="30" ht="23" customHeight="1">
      <x:c r="A30" s="8" t="str">
        <x:v>Binaria</x:v>
      </x:c>
      <x:c r="B30" s="8" t="str">
        <x:v>B: fusión intermedia</x:v>
      </x:c>
      <x:c r="C30" s="8" t="str">
        <x:v>B BCE</x:v>
      </x:c>
      <x:c r="D30" s="24" t="n">
        <x:f>100*(AVERAGE('Por semilla'!D75:D79)-AVERAGE('Por semilla'!D85:D89))</x:f>
        <x:v>0.14112087113495875</x:v>
      </x:c>
      <x:c r="E30" s="24" t="n">
        <x:v>-0.3502874391740893</x:v>
      </x:c>
      <x:c r="F30" s="24" t="n">
        <x:v>0.7037732435202279</x:v>
      </x:c>
      <x:c r="G30" s="12" t="n">
        <x:v>3</x:v>
      </x:c>
      <x:c r="H30" s="12" t="str">
        <x:v>Exploratorio</x:v>
      </x:c>
    </x:row>
    <x:row r="31" ht="23" customHeight="1">
      <x:c r="A31" s="2" t="str">
        <x:v>Binaria</x:v>
      </x:c>
      <x:c r="B31" s="2" t="str">
        <x:v>Metadata MLP focal</x:v>
      </x:c>
      <x:c r="C31" s="2" t="str">
        <x:v>Metadata MLP</x:v>
      </x:c>
      <x:c r="D31" s="23" t="n">
        <x:f>100*(AVERAGE('Por semilla'!D90:D94)-AVERAGE('Por semilla'!D5:D9))</x:f>
        <x:v>0.33238069405504556</x:v>
      </x:c>
      <x:c r="E31" s="23" t="n">
        <x:v>-0.03556131550261854</x:v>
      </x:c>
      <x:c r="F31" s="23" t="n">
        <x:v>0.7124780098026031</x:v>
      </x:c>
      <x:c r="G31" s="11" t="n">
        <x:v>4</x:v>
      </x:c>
      <x:c r="H31" s="11" t="str">
        <x:v>Exploratorio</x:v>
      </x:c>
    </x:row>
    <x:row r="32" ht="23" customHeight="1">
      <x:c r="A32" s="8" t="str">
        <x:v>Binaria</x:v>
      </x:c>
      <x:c r="B32" s="8" t="str">
        <x:v>CLIP + metadata</x:v>
      </x:c>
      <x:c r="C32" s="8" t="str">
        <x:v>Metadata MLP</x:v>
      </x:c>
      <x:c r="D32" s="24" t="n">
        <x:f>100*(AVERAGE('Por semilla'!D55:D59)-AVERAGE('Por semilla'!D5:D9))</x:f>
        <x:v>0.8748222965330066</x:v>
      </x:c>
      <x:c r="E32" s="24" t="n">
        <x:v>-0.1844645628367761</x:v>
      </x:c>
      <x:c r="F32" s="24" t="n">
        <x:v>1.8871857195448472</x:v>
      </x:c>
      <x:c r="G32" s="12" t="n">
        <x:v>3</x:v>
      </x:c>
      <x:c r="H32" s="12" t="str">
        <x:v>Exploratorio</x:v>
      </x:c>
    </x:row>
    <x:row r="33" ht="23" customHeight="1">
      <x:c r="A33" s="2" t="str">
        <x:v>Binaria</x:v>
      </x:c>
      <x:c r="B33" s="2" t="str">
        <x:v>CLIP + metadata</x:v>
      </x:c>
      <x:c r="C33" s="2" t="str">
        <x:v>Metadata logística</x:v>
      </x:c>
      <x:c r="D33" s="23" t="n">
        <x:f>100*(AVERAGE('Por semilla'!D55:D59)-AVERAGE('Por semilla'!D10:D14))</x:f>
        <x:v>1.3039947274418595</x:v>
      </x:c>
      <x:c r="E33" s="23" t="n">
        <x:v>0.16795083679227857</x:v>
      </x:c>
      <x:c r="F33" s="23" t="n">
        <x:v>2.647225773226204</x:v>
      </x:c>
      <x:c r="G33" s="11" t="n">
        <x:v>4</x:v>
      </x:c>
      <x:c r="H33" s="11" t="str">
        <x:v>Exploratorio</x:v>
      </x:c>
    </x:row>
    <x:row r="34" ht="23" customHeight="1">
      <x:c r="A34" s="8" t="str">
        <x:v>Binaria</x:v>
      </x:c>
      <x:c r="B34" s="8" t="str">
        <x:v>CLIP + metadata</x:v>
      </x:c>
      <x:c r="C34" s="8" t="str">
        <x:v>Metadata boosting</x:v>
      </x:c>
      <x:c r="D34" s="24" t="n">
        <x:f>100*(AVERAGE('Por semilla'!D55:D59)-AVERAGE('Por semilla'!D15:D19))</x:f>
        <x:v>-0.11895031935641454</x:v>
      </x:c>
      <x:c r="E34" s="24" t="n">
        <x:v>-1.3965643939006294</x:v>
      </x:c>
      <x:c r="F34" s="24" t="n">
        <x:v>1.026775489757579</x:v>
      </x:c>
      <x:c r="G34" s="12" t="n">
        <x:v>1</x:v>
      </x:c>
      <x:c r="H34" s="12" t="str">
        <x:v>Exploratorio</x:v>
      </x:c>
    </x:row>
    <x:row r="35" ht="23" customHeight="1">
      <x:c r="A35" s="2" t="str">
        <x:v>Binaria</x:v>
      </x:c>
      <x:c r="B35" s="2" t="str">
        <x:v>DINOv2 + metadata</x:v>
      </x:c>
      <x:c r="C35" s="2" t="str">
        <x:v>Metadata MLP</x:v>
      </x:c>
      <x:c r="D35" s="23" t="n">
        <x:f>100*(AVERAGE('Por semilla'!D60:D64)-AVERAGE('Por semilla'!D5:D9))</x:f>
        <x:v>0.6341248753641615</x:v>
      </x:c>
      <x:c r="E35" s="23" t="n">
        <x:v>-0.48377665887705623</x:v>
      </x:c>
      <x:c r="F35" s="23" t="n">
        <x:v>1.7466618979521362</x:v>
      </x:c>
      <x:c r="G35" s="11" t="n">
        <x:v>2</x:v>
      </x:c>
      <x:c r="H35" s="11" t="str">
        <x:v>Exploratorio</x:v>
      </x:c>
    </x:row>
    <x:row r="36" ht="23" customHeight="1">
      <x:c r="A36" s="8" t="str">
        <x:v>Binaria</x:v>
      </x:c>
      <x:c r="B36" s="8" t="str">
        <x:v>DINOv2 + metadata</x:v>
      </x:c>
      <x:c r="C36" s="8" t="str">
        <x:v>Metadata logística</x:v>
      </x:c>
      <x:c r="D36" s="24" t="n">
        <x:f>100*(AVERAGE('Por semilla'!D60:D64)-AVERAGE('Por semilla'!D10:D14))</x:f>
        <x:v>1.0632973062730144</x:v>
      </x:c>
      <x:c r="E36" s="24" t="n">
        <x:v>-0.00017131028389015884</x:v>
      </x:c>
      <x:c r="F36" s="24" t="n">
        <x:v>2.2415476349004675</x:v>
      </x:c>
      <x:c r="G36" s="12" t="n">
        <x:v>4</x:v>
      </x:c>
      <x:c r="H36" s="12" t="str">
        <x:v>Exploratorio</x:v>
      </x:c>
    </x:row>
    <x:row r="37" ht="23" customHeight="1">
      <x:c r="A37" s="2" t="str">
        <x:v>Binaria</x:v>
      </x:c>
      <x:c r="B37" s="2" t="str">
        <x:v>DINOv2 + metadata</x:v>
      </x:c>
      <x:c r="C37" s="2" t="str">
        <x:v>Metadata boosting</x:v>
      </x:c>
      <x:c r="D37" s="23" t="n">
        <x:f>100*(AVERAGE('Por semilla'!D60:D64)-AVERAGE('Por semilla'!D15:D19))</x:f>
        <x:v>-0.3596477405252596</x:v>
      </x:c>
      <x:c r="E37" s="23" t="n">
        <x:v>-1.5804105499973413</x:v>
      </x:c>
      <x:c r="F37" s="23" t="n">
        <x:v>0.6989893522448736</x:v>
      </x:c>
      <x:c r="G37" s="11" t="n">
        <x:v>1</x:v>
      </x:c>
      <x:c r="H37" s="11" t="str">
        <x:v>Exploratorio</x:v>
      </x:c>
    </x:row>
    <x:row r="38" ht="23" customHeight="1">
      <x:c r="A38" s="8" t="str">
        <x:v>Binaria</x:v>
      </x:c>
      <x:c r="B38" s="8" t="str">
        <x:v>ConvNeXt + metadata</x:v>
      </x:c>
      <x:c r="C38" s="8" t="str">
        <x:v>Metadata MLP</x:v>
      </x:c>
      <x:c r="D38" s="24" t="n">
        <x:f>100*(AVERAGE('Por semilla'!D65:D69)-AVERAGE('Por semilla'!D5:D9))</x:f>
        <x:v>0.41053143447215</x:v>
      </x:c>
      <x:c r="E38" s="24" t="n">
        <x:v>-0.654009315942077</x:v>
      </x:c>
      <x:c r="F38" s="24" t="n">
        <x:v>1.453567280046365</x:v>
      </x:c>
      <x:c r="G38" s="12" t="n">
        <x:v>2</x:v>
      </x:c>
      <x:c r="H38" s="12" t="str">
        <x:v>Exploratorio</x:v>
      </x:c>
    </x:row>
    <x:row r="39" ht="23" customHeight="1">
      <x:c r="A39" s="2" t="str">
        <x:v>Binaria</x:v>
      </x:c>
      <x:c r="B39" s="2" t="str">
        <x:v>ConvNeXt + metadata</x:v>
      </x:c>
      <x:c r="C39" s="2" t="str">
        <x:v>Metadata logística</x:v>
      </x:c>
      <x:c r="D39" s="23" t="n">
        <x:f>100*(AVERAGE('Por semilla'!D65:D69)-AVERAGE('Por semilla'!D10:D14))</x:f>
        <x:v>0.839703865381003</x:v>
      </x:c>
      <x:c r="E39" s="23" t="n">
        <x:v>-0.2939113560846793</x:v>
      </x:c>
      <x:c r="F39" s="23" t="n">
        <x:v>2.0668527005860153</x:v>
      </x:c>
      <x:c r="G39" s="11" t="n">
        <x:v>5</x:v>
      </x:c>
      <x:c r="H39" s="11" t="str">
        <x:v>Exploratorio</x:v>
      </x:c>
    </x:row>
    <x:row r="40" ht="23" customHeight="1">
      <x:c r="A40" s="8" t="str">
        <x:v>Binaria</x:v>
      </x:c>
      <x:c r="B40" s="8" t="str">
        <x:v>ConvNeXt + metadata</x:v>
      </x:c>
      <x:c r="C40" s="8" t="str">
        <x:v>Metadata boosting</x:v>
      </x:c>
      <x:c r="D40" s="24" t="n">
        <x:f>100*(AVERAGE('Por semilla'!D65:D69)-AVERAGE('Por semilla'!D15:D19))</x:f>
        <x:v>-0.5832411814172711</x:v>
      </x:c>
      <x:c r="E40" s="24" t="n">
        <x:v>-1.7798680639101214</x:v>
      </x:c>
      <x:c r="F40" s="24" t="n">
        <x:v>0.5112876863522499</x:v>
      </x:c>
      <x:c r="G40" s="12" t="n">
        <x:v>0</x:v>
      </x:c>
      <x:c r="H40" s="12" t="str">
        <x:v>Exploratorio</x:v>
      </x:c>
    </x:row>
    <x:row r="41" ht="23" customHeight="1">
      <x:c r="A41" s="2" t="str">
        <x:v>Binaria</x:v>
      </x:c>
      <x:c r="B41" s="2" t="str">
        <x:v>A: CLIP + DINOv2 + metadata</x:v>
      </x:c>
      <x:c r="C41" s="2" t="str">
        <x:v>Metadata MLP</x:v>
      </x:c>
      <x:c r="D41" s="23" t="n">
        <x:f>100*(AVERAGE('Por semilla'!D70:D74)-AVERAGE('Por semilla'!D5:D9))</x:f>
        <x:v>0.9671590458516732</x:v>
      </x:c>
      <x:c r="E41" s="23" t="n">
        <x:v>-0.2573117747683204</x:v>
      </x:c>
      <x:c r="F41" s="23" t="n">
        <x:v>2.225843302942896</x:v>
      </x:c>
      <x:c r="G41" s="11" t="n">
        <x:v>2</x:v>
      </x:c>
      <x:c r="H41" s="11" t="str">
        <x:v>Exploratorio</x:v>
      </x:c>
    </x:row>
    <x:row r="42" ht="23" customHeight="1">
      <x:c r="A42" s="8" t="str">
        <x:v>Binaria</x:v>
      </x:c>
      <x:c r="B42" s="8" t="str">
        <x:v>A: CLIP + DINOv2 + metadata</x:v>
      </x:c>
      <x:c r="C42" s="8" t="str">
        <x:v>Metadata logística</x:v>
      </x:c>
      <x:c r="D42" s="24" t="n">
        <x:f>100*(AVERAGE('Por semilla'!D70:D74)-AVERAGE('Por semilla'!D10:D14))</x:f>
        <x:v>1.3963314767605262</x:v>
      </x:c>
      <x:c r="E42" s="24" t="n">
        <x:v>0.2479142625430922</x:v>
      </x:c>
      <x:c r="F42" s="24" t="n">
        <x:v>2.7699402595339255</x:v>
      </x:c>
      <x:c r="G42" s="12" t="n">
        <x:v>5</x:v>
      </x:c>
      <x:c r="H42" s="12" t="str">
        <x:v>Exploratorio</x:v>
      </x:c>
    </x:row>
    <x:row r="43" ht="23" customHeight="1">
      <x:c r="A43" s="2" t="str">
        <x:v>Binaria</x:v>
      </x:c>
      <x:c r="B43" s="2" t="str">
        <x:v>A: CLIP + DINOv2 + metadata</x:v>
      </x:c>
      <x:c r="C43" s="2" t="str">
        <x:v>Metadata boosting</x:v>
      </x:c>
      <x:c r="D43" s="23" t="n">
        <x:f>100*(AVERAGE('Por semilla'!D70:D74)-AVERAGE('Por semilla'!D15:D19))</x:f>
        <x:v>-0.02661357003774789</x:v>
      </x:c>
      <x:c r="E43" s="23" t="n">
        <x:v>-1.237637766071877</x:v>
      </x:c>
      <x:c r="F43" s="23" t="n">
        <x:v>1.1377505328175426</x:v>
      </x:c>
      <x:c r="G43" s="11" t="n">
        <x:v>2</x:v>
      </x:c>
      <x:c r="H43" s="11" t="str">
        <x:v>Exploratorio</x:v>
      </x:c>
    </x:row>
    <x:row r="44" ht="23" customHeight="1">
      <x:c r="A44" s="8" t="str">
        <x:v>Binaria</x:v>
      </x:c>
      <x:c r="B44" s="8" t="str">
        <x:v>B: fusión intermedia</x:v>
      </x:c>
      <x:c r="C44" s="8" t="str">
        <x:v>Metadata MLP</x:v>
      </x:c>
      <x:c r="D44" s="24" t="n">
        <x:f>100*(AVERAGE('Por semilla'!D75:D79)-AVERAGE('Por semilla'!D5:D9))</x:f>
        <x:v>1.4571391966489156</x:v>
      </x:c>
      <x:c r="E44" s="24" t="n">
        <x:v>0.4790528796980146</x:v>
      </x:c>
      <x:c r="F44" s="24" t="n">
        <x:v>2.4567070581969</x:v>
      </x:c>
      <x:c r="G44" s="12" t="n">
        <x:v>5</x:v>
      </x:c>
      <x:c r="H44" s="12" t="str">
        <x:v>Exploratorio</x:v>
      </x:c>
    </x:row>
    <x:row r="45" ht="23" customHeight="1">
      <x:c r="A45" s="2" t="str">
        <x:v>Binaria</x:v>
      </x:c>
      <x:c r="B45" s="2" t="str">
        <x:v>B: fusión intermedia</x:v>
      </x:c>
      <x:c r="C45" s="2" t="str">
        <x:v>Metadata logística</x:v>
      </x:c>
      <x:c r="D45" s="23" t="n">
        <x:f>100*(AVERAGE('Por semilla'!D75:D79)-AVERAGE('Por semilla'!D10:D14))</x:f>
        <x:v>1.8863116275577685</x:v>
      </x:c>
      <x:c r="E45" s="23" t="n">
        <x:v>0.7809325713975788</x:v>
      </x:c>
      <x:c r="F45" s="23" t="n">
        <x:v>3.2261351636777325</x:v>
      </x:c>
      <x:c r="G45" s="11" t="n">
        <x:v>5</x:v>
      </x:c>
      <x:c r="H45" s="11" t="str">
        <x:v>Exploratorio</x:v>
      </x:c>
    </x:row>
    <x:row r="46" ht="23" customHeight="1">
      <x:c r="A46" s="8" t="str">
        <x:v>Binaria</x:v>
      </x:c>
      <x:c r="B46" s="8" t="str">
        <x:v>B: fusión intermedia</x:v>
      </x:c>
      <x:c r="C46" s="8" t="str">
        <x:v>Metadata boosting</x:v>
      </x:c>
      <x:c r="D46" s="24" t="n">
        <x:f>100*(AVERAGE('Por semilla'!D75:D79)-AVERAGE('Por semilla'!D15:D19))</x:f>
        <x:v>0.46336658075949444</x:v>
      </x:c>
      <x:c r="E46" s="24" t="n">
        <x:v>-0.651156167523295</x:v>
      </x:c>
      <x:c r="F46" s="24" t="n">
        <x:v>1.4617330961803972</x:v>
      </x:c>
      <x:c r="G46" s="12" t="n">
        <x:v>3</x:v>
      </x:c>
      <x:c r="H46" s="12" t="str">
        <x:v>Exploratorio</x:v>
      </x:c>
    </x:row>
    <x:row r="47" ht="23" customHeight="1">
      <x:c r="A47" s="2" t="str">
        <x:v>Binaria</x:v>
      </x:c>
      <x:c r="B47" s="2" t="str">
        <x:v>A focal</x:v>
      </x:c>
      <x:c r="C47" s="2" t="str">
        <x:v>Metadata MLP</x:v>
      </x:c>
      <x:c r="D47" s="23" t="n">
        <x:f>100*(AVERAGE('Por semilla'!D80:D84)-AVERAGE('Por semilla'!D5:D9))</x:f>
        <x:v>1.3055036618388693</x:v>
      </x:c>
      <x:c r="E47" s="23" t="n">
        <x:v>0.2030545574107817</x:v>
      </x:c>
      <x:c r="F47" s="23" t="n">
        <x:v>2.477867214611577</x:v>
      </x:c>
      <x:c r="G47" s="11" t="n">
        <x:v>3</x:v>
      </x:c>
      <x:c r="H47" s="11" t="str">
        <x:v>Exploratorio</x:v>
      </x:c>
    </x:row>
    <x:row r="48" ht="23" customHeight="1">
      <x:c r="A48" s="8" t="str">
        <x:v>Binaria</x:v>
      </x:c>
      <x:c r="B48" s="8" t="str">
        <x:v>A focal</x:v>
      </x:c>
      <x:c r="C48" s="8" t="str">
        <x:v>Metadata logística</x:v>
      </x:c>
      <x:c r="D48" s="24" t="n">
        <x:f>100*(AVERAGE('Por semilla'!D80:D84)-AVERAGE('Por semilla'!D10:D14))</x:f>
        <x:v>1.7346760927477223</x:v>
      </x:c>
      <x:c r="E48" s="24" t="n">
        <x:v>0.6367981372349405</x:v>
      </x:c>
      <x:c r="F48" s="24" t="n">
        <x:v>3.081701761530857</x:v>
      </x:c>
      <x:c r="G48" s="12" t="n">
        <x:v>5</x:v>
      </x:c>
      <x:c r="H48" s="12" t="str">
        <x:v>Exploratorio</x:v>
      </x:c>
    </x:row>
    <x:row r="49" ht="23" customHeight="1">
      <x:c r="A49" s="2" t="str">
        <x:v>Binaria</x:v>
      </x:c>
      <x:c r="B49" s="2" t="str">
        <x:v>A focal</x:v>
      </x:c>
      <x:c r="C49" s="2" t="str">
        <x:v>Metadata boosting</x:v>
      </x:c>
      <x:c r="D49" s="23" t="n">
        <x:f>100*(AVERAGE('Por semilla'!D80:D84)-AVERAGE('Por semilla'!D15:D19))</x:f>
        <x:v>0.3117310459494482</x:v>
      </x:c>
      <x:c r="E49" s="23" t="n">
        <x:v>-0.7789145241919448</x:v>
      </x:c>
      <x:c r="F49" s="23" t="n">
        <x:v>1.4049019675836283</x:v>
      </x:c>
      <x:c r="G49" s="11" t="n">
        <x:v>3</x:v>
      </x:c>
      <x:c r="H49" s="11" t="str">
        <x:v>Exploratorio</x:v>
      </x:c>
    </x:row>
    <x:row r="50" ht="23" customHeight="1">
      <x:c r="A50" s="8" t="str">
        <x:v>Binaria</x:v>
      </x:c>
      <x:c r="B50" s="8" t="str">
        <x:v>B BCE</x:v>
      </x:c>
      <x:c r="C50" s="8" t="str">
        <x:v>Metadata MLP</x:v>
      </x:c>
      <x:c r="D50" s="24" t="n">
        <x:f>100*(AVERAGE('Por semilla'!D85:D89)-AVERAGE('Por semilla'!D5:D9))</x:f>
        <x:v>1.3160183255139568</x:v>
      </x:c>
      <x:c r="E50" s="24" t="n">
        <x:v>0.19001510214321254</x:v>
      </x:c>
      <x:c r="F50" s="24" t="n">
        <x:v>2.485050825302631</x:v>
      </x:c>
      <x:c r="G50" s="12" t="n">
        <x:v>4</x:v>
      </x:c>
      <x:c r="H50" s="12" t="str">
        <x:v>Exploratorio</x:v>
      </x:c>
    </x:row>
    <x:row r="51" ht="23" customHeight="1">
      <x:c r="A51" s="2" t="str">
        <x:v>Binaria</x:v>
      </x:c>
      <x:c r="B51" s="2" t="str">
        <x:v>B BCE</x:v>
      </x:c>
      <x:c r="C51" s="2" t="str">
        <x:v>Metadata logística</x:v>
      </x:c>
      <x:c r="D51" s="23" t="n">
        <x:f>100*(AVERAGE('Por semilla'!D85:D89)-AVERAGE('Por semilla'!D10:D14))</x:f>
        <x:v>1.7451907564228097</x:v>
      </x:c>
      <x:c r="E51" s="23" t="n">
        <x:v>0.6870629015300402</x:v>
      </x:c>
      <x:c r="F51" s="23" t="n">
        <x:v>3.0335740142821352</x:v>
      </x:c>
      <x:c r="G51" s="11" t="n">
        <x:v>5</x:v>
      </x:c>
      <x:c r="H51" s="11" t="str">
        <x:v>Exploratorio</x:v>
      </x:c>
    </x:row>
    <x:row r="52" ht="23" customHeight="1">
      <x:c r="A52" s="8" t="str">
        <x:v>Binaria</x:v>
      </x:c>
      <x:c r="B52" s="8" t="str">
        <x:v>B BCE</x:v>
      </x:c>
      <x:c r="C52" s="8" t="str">
        <x:v>Metadata boosting</x:v>
      </x:c>
      <x:c r="D52" s="24" t="n">
        <x:f>100*(AVERAGE('Por semilla'!D85:D89)-AVERAGE('Por semilla'!D15:D19))</x:f>
        <x:v>0.3222457096245357</x:v>
      </x:c>
      <x:c r="E52" s="24" t="n">
        <x:v>-0.7307513473764291</x:v>
      </x:c>
      <x:c r="F52" s="24" t="n">
        <x:v>1.3838885670211445</x:v>
      </x:c>
      <x:c r="G52" s="12" t="n">
        <x:v>3</x:v>
      </x:c>
      <x:c r="H52" s="12" t="str">
        <x:v>Exploratorio</x:v>
      </x:c>
    </x:row>
    <x:row r="53" ht="23" customHeight="1">
      <x:c r="A53" s="2" t="str">
        <x:v>Multiclase</x:v>
      </x:c>
      <x:c r="B53" s="2" t="str">
        <x:v>CLIP</x:v>
      </x:c>
      <x:c r="C53" s="2" t="str">
        <x:v>Metadata elegida con validación</x:v>
      </x:c>
      <x:c r="D53" s="23" t="n">
        <x:f>100*(AVERAGE('Por semilla'!F135:F139)-AVERAGE('Por semilla'!F120:F124))</x:f>
        <x:v>5.2372329854169735</x:v>
      </x:c>
      <x:c r="E53" s="23" t="n">
        <x:v>-1.6408877772459165</x:v>
      </x:c>
      <x:c r="F53" s="23" t="n">
        <x:v>11.818411687604907</x:v>
      </x:c>
      <x:c r="G53" s="11" t="n">
        <x:v>4</x:v>
      </x:c>
      <x:c r="H53" s="11" t="str">
        <x:v>Exploratorio</x:v>
      </x:c>
    </x:row>
    <x:row r="54" ht="23" customHeight="1">
      <x:c r="A54" s="8" t="str">
        <x:v>Multiclase</x:v>
      </x:c>
      <x:c r="B54" s="8" t="str">
        <x:v>DINOv2</x:v>
      </x:c>
      <x:c r="C54" s="8" t="str">
        <x:v>Metadata elegida con validación</x:v>
      </x:c>
      <x:c r="D54" s="24" t="n">
        <x:f>100*(AVERAGE('Por semilla'!F140:F144)-AVERAGE('Por semilla'!F120:F124))</x:f>
        <x:v>2.9473977294542486</x:v>
      </x:c>
      <x:c r="E54" s="24" t="n">
        <x:v>-5.117358557320231</x:v>
      </x:c>
      <x:c r="F54" s="24" t="n">
        <x:v>9.333095860587674</x:v>
      </x:c>
      <x:c r="G54" s="12" t="n">
        <x:v>2</x:v>
      </x:c>
      <x:c r="H54" s="12" t="str">
        <x:v>Exploratorio</x:v>
      </x:c>
    </x:row>
    <x:row r="55" ht="23" customHeight="1">
      <x:c r="A55" s="2" t="str">
        <x:v>Multiclase</x:v>
      </x:c>
      <x:c r="B55" s="2" t="str">
        <x:v>ConvNeXt</x:v>
      </x:c>
      <x:c r="C55" s="2" t="str">
        <x:v>Metadata elegida con validación</x:v>
      </x:c>
      <x:c r="D55" s="23" t="n">
        <x:f>100*(AVERAGE('Por semilla'!F145:F149)-AVERAGE('Por semilla'!F120:F124))</x:f>
        <x:v>-3.3779160279097664</x:v>
      </x:c>
      <x:c r="E55" s="23" t="n">
        <x:v>-11.110261490162772</x:v>
      </x:c>
      <x:c r="F55" s="23" t="n">
        <x:v>3.228918225048098</x:v>
      </x:c>
      <x:c r="G55" s="11" t="n">
        <x:v>1</x:v>
      </x:c>
      <x:c r="H55" s="11" t="str">
        <x:v>Exploratorio</x:v>
      </x:c>
    </x:row>
    <x:row r="56" ht="23" customHeight="1">
      <x:c r="A56" s="8" t="str">
        <x:v>Multiclase</x:v>
      </x:c>
      <x:c r="B56" s="8" t="str">
        <x:v>CLIP + DINOv2</x:v>
      </x:c>
      <x:c r="C56" s="8" t="str">
        <x:v>Metadata elegida con validación</x:v>
      </x:c>
      <x:c r="D56" s="24" t="n">
        <x:f>100*(AVERAGE('Por semilla'!F150:F154)-AVERAGE('Por semilla'!F120:F124))</x:f>
        <x:v>4.5526364068505405</x:v>
      </x:c>
      <x:c r="E56" s="24" t="n">
        <x:v>-3.311914942842234</x:v>
      </x:c>
      <x:c r="F56" s="24" t="n">
        <x:v>11.351992418193193</x:v>
      </x:c>
      <x:c r="G56" s="12" t="n">
        <x:v>4</x:v>
      </x:c>
      <x:c r="H56" s="12" t="str">
        <x:v>Exploratorio</x:v>
      </x:c>
    </x:row>
    <x:row r="57" ht="23" customHeight="1">
      <x:c r="A57" s="2" t="str">
        <x:v>Multiclase</x:v>
      </x:c>
      <x:c r="B57" s="2" t="str">
        <x:v>CLIP + metadata</x:v>
      </x:c>
      <x:c r="C57" s="2" t="str">
        <x:v>Metadata elegida con validación</x:v>
      </x:c>
      <x:c r="D57" s="23" t="n">
        <x:f>100*(AVERAGE('Por semilla'!F155:F159)-AVERAGE('Por semilla'!F120:F124))</x:f>
        <x:v>11.099867426568967</x:v>
      </x:c>
      <x:c r="E57" s="23" t="n">
        <x:v>6.680030643276822</x:v>
      </x:c>
      <x:c r="F57" s="23" t="n">
        <x:v>16.25618476487772</x:v>
      </x:c>
      <x:c r="G57" s="11" t="n">
        <x:v>5</x:v>
      </x:c>
      <x:c r="H57" s="11" t="str">
        <x:v>Exploratorio</x:v>
      </x:c>
    </x:row>
    <x:row r="58" ht="23" customHeight="1">
      <x:c r="A58" s="8" t="str">
        <x:v>Multiclase</x:v>
      </x:c>
      <x:c r="B58" s="8" t="str">
        <x:v>DINOv2 + metadata</x:v>
      </x:c>
      <x:c r="C58" s="8" t="str">
        <x:v>Metadata elegida con validación</x:v>
      </x:c>
      <x:c r="D58" s="24" t="n">
        <x:f>100*(AVERAGE('Por semilla'!F160:F164)-AVERAGE('Por semilla'!F120:F124))</x:f>
        <x:v>8.220050895085041</x:v>
      </x:c>
      <x:c r="E58" s="24" t="n">
        <x:v>2.0949866885239437</x:v>
      </x:c>
      <x:c r="F58" s="24" t="n">
        <x:v>13.568356807410852</x:v>
      </x:c>
      <x:c r="G58" s="12" t="n">
        <x:v>4</x:v>
      </x:c>
      <x:c r="H58" s="12" t="str">
        <x:v>Exploratorio</x:v>
      </x:c>
    </x:row>
    <x:row r="59" ht="23" customHeight="1">
      <x:c r="A59" s="2" t="str">
        <x:v>Multiclase</x:v>
      </x:c>
      <x:c r="B59" s="2" t="str">
        <x:v>ConvNeXt + metadata</x:v>
      </x:c>
      <x:c r="C59" s="2" t="str">
        <x:v>Metadata elegida con validación</x:v>
      </x:c>
      <x:c r="D59" s="23" t="n">
        <x:f>100*(AVERAGE('Por semilla'!F165:F169)-AVERAGE('Por semilla'!F120:F124))</x:f>
        <x:v>5.0865134946698864</x:v>
      </x:c>
      <x:c r="E59" s="23" t="n">
        <x:v>0.14090125960056404</x:v>
      </x:c>
      <x:c r="F59" s="23" t="n">
        <x:v>10.037855741591537</x:v>
      </x:c>
      <x:c r="G59" s="11" t="n">
        <x:v>4</x:v>
      </x:c>
      <x:c r="H59" s="11" t="str">
        <x:v>Exploratorio</x:v>
      </x:c>
    </x:row>
    <x:row r="60" ht="23" customHeight="1">
      <x:c r="A60" s="8" t="str">
        <x:v>Multiclase</x:v>
      </x:c>
      <x:c r="B60" s="8" t="str">
        <x:v>CLIP + metadata</x:v>
      </x:c>
      <x:c r="C60" s="8" t="str">
        <x:v>CLIP</x:v>
      </x:c>
      <x:c r="D60" s="24" t="n">
        <x:f>100*(AVERAGE('Por semilla'!F155:F159)-AVERAGE('Por semilla'!F135:F139))</x:f>
        <x:v>5.862634441151993</x:v>
      </x:c>
      <x:c r="E60" s="24" t="n">
        <x:v>-0.46253731842343093</x:v>
      </x:c>
      <x:c r="F60" s="24" t="n">
        <x:v>13.541805134515764</x:v>
      </x:c>
      <x:c r="G60" s="12" t="n">
        <x:v>5</x:v>
      </x:c>
      <x:c r="H60" s="12" t="str">
        <x:v>Exploratorio</x:v>
      </x:c>
    </x:row>
    <x:row r="61" ht="23" customHeight="1">
      <x:c r="A61" s="2" t="str">
        <x:v>Multiclase</x:v>
      </x:c>
      <x:c r="B61" s="2" t="str">
        <x:v>DINOv2 + metadata</x:v>
      </x:c>
      <x:c r="C61" s="2" t="str">
        <x:v>DINOv2</x:v>
      </x:c>
      <x:c r="D61" s="23" t="n">
        <x:f>100*(AVERAGE('Por semilla'!F160:F164)-AVERAGE('Por semilla'!F140:F144))</x:f>
        <x:v>5.272653165630792</x:v>
      </x:c>
      <x:c r="E61" s="23" t="n">
        <x:v>-0.04971499512561121</x:v>
      </x:c>
      <x:c r="F61" s="23" t="n">
        <x:v>11.432645459453912</x:v>
      </x:c>
      <x:c r="G61" s="11" t="n">
        <x:v>4</x:v>
      </x:c>
      <x:c r="H61" s="11" t="str">
        <x:v>Exploratorio</x:v>
      </x:c>
    </x:row>
    <x:row r="62" ht="23" customHeight="1">
      <x:c r="A62" s="8" t="str">
        <x:v>Multiclase</x:v>
      </x:c>
      <x:c r="B62" s="8" t="str">
        <x:v>ConvNeXt + metadata</x:v>
      </x:c>
      <x:c r="C62" s="8" t="str">
        <x:v>ConvNeXt</x:v>
      </x:c>
      <x:c r="D62" s="24" t="n">
        <x:f>100*(AVERAGE('Por semilla'!F165:F169)-AVERAGE('Por semilla'!F145:F149))</x:f>
        <x:v>8.464429522579653</x:v>
      </x:c>
      <x:c r="E62" s="24" t="n">
        <x:v>1.127231921828285</x:v>
      </x:c>
      <x:c r="F62" s="24" t="n">
        <x:v>16.512969295356488</x:v>
      </x:c>
      <x:c r="G62" s="12" t="n">
        <x:v>4</x:v>
      </x:c>
      <x:c r="H62" s="12" t="str">
        <x:v>Exploratorio</x:v>
      </x:c>
    </x:row>
    <x:row r="63" ht="23" customHeight="1">
      <x:c r="A63" s="2" t="str">
        <x:v>Multiclase</x:v>
      </x:c>
      <x:c r="B63" s="2" t="str">
        <x:v>A: CLIP + DINOv2 + metadata</x:v>
      </x:c>
      <x:c r="C63" s="2" t="str">
        <x:v>CLIP + DINOv2</x:v>
      </x:c>
      <x:c r="D63" s="23" t="n">
        <x:f>100*(AVERAGE('Por semilla'!F170:F174)-AVERAGE('Por semilla'!F150:F154))</x:f>
        <x:v>6.70798585820962</x:v>
      </x:c>
      <x:c r="E63" s="23" t="n">
        <x:v>1.1909906904740433</x:v>
      </x:c>
      <x:c r="F63" s="23" t="n">
        <x:v>13.11265729620687</x:v>
      </x:c>
      <x:c r="G63" s="11" t="n">
        <x:v>4</x:v>
      </x:c>
      <x:c r="H63" s="11" t="str">
        <x:v>Exploratorio</x:v>
      </x:c>
    </x:row>
    <x:row r="64" ht="23" customHeight="1">
      <x:c r="A64" s="8" t="str">
        <x:v>Multiclase</x:v>
      </x:c>
      <x:c r="B64" s="8" t="str">
        <x:v>B: fusión intermedia</x:v>
      </x:c>
      <x:c r="C64" s="8" t="str">
        <x:v>CLIP + DINOv2</x:v>
      </x:c>
      <x:c r="D64" s="24" t="n">
        <x:f>100*(AVERAGE('Por semilla'!F175:F179)-AVERAGE('Por semilla'!F150:F154))</x:f>
        <x:v>7.337495061972632</x:v>
      </x:c>
      <x:c r="E64" s="24" t="n">
        <x:v>1.09032090971901</x:v>
      </x:c>
      <x:c r="F64" s="24" t="n">
        <x:v>14.834935430971269</x:v>
      </x:c>
      <x:c r="G64" s="12" t="n">
        <x:v>4</x:v>
      </x:c>
      <x:c r="H64" s="12" t="str">
        <x:v>Exploratorio</x:v>
      </x:c>
    </x:row>
    <x:row r="65" ht="23" customHeight="1">
      <x:c r="A65" s="2" t="str">
        <x:v>Multiclase</x:v>
      </x:c>
      <x:c r="B65" s="2" t="str">
        <x:v>B: fusión intermedia</x:v>
      </x:c>
      <x:c r="C65" s="2" t="str">
        <x:v>B solo metadata, misma capacidad</x:v>
      </x:c>
      <x:c r="D65" s="23" t="n">
        <x:f>100*(AVERAGE('Por semilla'!F175:F179)-AVERAGE('Por semilla'!F180:F184))</x:f>
        <x:v>16.257437114841554</x:v>
      </x:c>
      <x:c r="E65" s="23" t="n">
        <x:v>11.423664650512112</x:v>
      </x:c>
      <x:c r="F65" s="23" t="n">
        <x:v>21.680398199393505</x:v>
      </x:c>
      <x:c r="G65" s="11" t="n">
        <x:v>5</x:v>
      </x:c>
      <x:c r="H65" s="11" t="str">
        <x:v>Exploratorio</x:v>
      </x:c>
    </x:row>
    <x:row r="66" ht="23" customHeight="1">
      <x:c r="A66" s="8" t="str">
        <x:v>Multiclase</x:v>
      </x:c>
      <x:c r="B66" s="8" t="str">
        <x:v>B: fusión intermedia</x:v>
      </x:c>
      <x:c r="C66" s="8" t="str">
        <x:v>B solo imágenes, misma capacidad</x:v>
      </x:c>
      <x:c r="D66" s="24" t="n">
        <x:f>100*(AVERAGE('Por semilla'!F175:F179)-AVERAGE('Por semilla'!F185:F189))</x:f>
        <x:v>8.313864090091283</x:v>
      </x:c>
      <x:c r="E66" s="24" t="n">
        <x:v>2.4028692009297465</x:v>
      </x:c>
      <x:c r="F66" s="24" t="n">
        <x:v>15.72088499598392</x:v>
      </x:c>
      <x:c r="G66" s="12" t="n">
        <x:v>5</x:v>
      </x:c>
      <x:c r="H66" s="12" t="str">
        <x:v>Exploratorio</x:v>
      </x:c>
    </x:row>
    <x:row r="67" ht="23" customHeight="1">
      <x:c r="A67" s="2" t="str">
        <x:v>Multiclase</x:v>
      </x:c>
      <x:c r="B67" s="2" t="str">
        <x:v>B: fusión intermedia</x:v>
      </x:c>
      <x:c r="C67" s="2" t="str">
        <x:v>A: CLIP + DINOv2 + metadata</x:v>
      </x:c>
      <x:c r="D67" s="23" t="n">
        <x:f>100*(AVERAGE('Por semilla'!F175:F179)-AVERAGE('Por semilla'!F170:F174))</x:f>
        <x:v>0.6295092037630123</x:v>
      </x:c>
      <x:c r="E67" s="23" t="n">
        <x:v>-2.883562917459754</x:v>
      </x:c>
      <x:c r="F67" s="23" t="n">
        <x:v>4.432847941835998</x:v>
      </x:c>
      <x:c r="G67" s="11" t="n">
        <x:v>3</x:v>
      </x:c>
      <x:c r="H67" s="11" t="str">
        <x:v>Exploratorio</x:v>
      </x:c>
    </x:row>
    <x:row r="68" ht="23" customHeight="1">
      <x:c r="A68" s="8" t="str">
        <x:v>Multiclase</x:v>
      </x:c>
      <x:c r="B68" s="8" t="str">
        <x:v>CLIP + metadata</x:v>
      </x:c>
      <x:c r="C68" s="8" t="str">
        <x:v>Metadata MLP</x:v>
      </x:c>
      <x:c r="D68" s="24" t="n">
        <x:f>100*(AVERAGE('Por semilla'!F155:F159)-AVERAGE('Por semilla'!F105:F109))</x:f>
        <x:v>11.02481904143745</x:v>
      </x:c>
      <x:c r="E68" s="24" t="n">
        <x:v>6.883683851725529</x:v>
      </x:c>
      <x:c r="F68" s="24" t="n">
        <x:v>15.850516164507681</x:v>
      </x:c>
      <x:c r="G68" s="12" t="n">
        <x:v>5</x:v>
      </x:c>
      <x:c r="H68" s="12" t="str">
        <x:v>Exploratorio</x:v>
      </x:c>
    </x:row>
    <x:row r="69" ht="23" customHeight="1">
      <x:c r="A69" s="2" t="str">
        <x:v>Multiclase</x:v>
      </x:c>
      <x:c r="B69" s="2" t="str">
        <x:v>CLIP + metadata</x:v>
      </x:c>
      <x:c r="C69" s="2" t="str">
        <x:v>Metadata logística</x:v>
      </x:c>
      <x:c r="D69" s="23" t="n">
        <x:f>100*(AVERAGE('Por semilla'!F155:F159)-AVERAGE('Por semilla'!F110:F114))</x:f>
        <x:v>6.039177604523516</x:v>
      </x:c>
      <x:c r="E69" s="23" t="n">
        <x:v>1.019400200872951</x:v>
      </x:c>
      <x:c r="F69" s="23" t="n">
        <x:v>11.36314186106724</x:v>
      </x:c>
      <x:c r="G69" s="11" t="n">
        <x:v>5</x:v>
      </x:c>
      <x:c r="H69" s="11" t="str">
        <x:v>Exploratorio</x:v>
      </x:c>
    </x:row>
    <x:row r="70" ht="23" customHeight="1">
      <x:c r="A70" s="8" t="str">
        <x:v>Multiclase</x:v>
      </x:c>
      <x:c r="B70" s="8" t="str">
        <x:v>CLIP + metadata</x:v>
      </x:c>
      <x:c r="C70" s="8" t="str">
        <x:v>Metadata boosting</x:v>
      </x:c>
      <x:c r="D70" s="24" t="n">
        <x:f>100*(AVERAGE('Por semilla'!F155:F159)-AVERAGE('Por semilla'!F115:F119))</x:f>
        <x:v>15.220886573075887</x:v>
      </x:c>
      <x:c r="E70" s="24" t="n">
        <x:v>10.25951004509587</x:v>
      </x:c>
      <x:c r="F70" s="24" t="n">
        <x:v>21.200387385912848</x:v>
      </x:c>
      <x:c r="G70" s="12" t="n">
        <x:v>5</x:v>
      </x:c>
      <x:c r="H70" s="12" t="str">
        <x:v>Exploratorio</x:v>
      </x:c>
    </x:row>
    <x:row r="71" ht="23" customHeight="1">
      <x:c r="A71" s="2" t="str">
        <x:v>Multiclase</x:v>
      </x:c>
      <x:c r="B71" s="2" t="str">
        <x:v>DINOv2 + metadata</x:v>
      </x:c>
      <x:c r="C71" s="2" t="str">
        <x:v>Metadata MLP</x:v>
      </x:c>
      <x:c r="D71" s="23" t="n">
        <x:f>100*(AVERAGE('Por semilla'!F160:F164)-AVERAGE('Por semilla'!F105:F109))</x:f>
        <x:v>8.145002509953525</x:v>
      </x:c>
      <x:c r="E71" s="23" t="n">
        <x:v>2.2640492693217005</x:v>
      </x:c>
      <x:c r="F71" s="23" t="n">
        <x:v>13.18415609702361</x:v>
      </x:c>
      <x:c r="G71" s="11" t="n">
        <x:v>5</x:v>
      </x:c>
      <x:c r="H71" s="11" t="str">
        <x:v>Exploratorio</x:v>
      </x:c>
    </x:row>
    <x:row r="72" ht="23" customHeight="1">
      <x:c r="A72" s="8" t="str">
        <x:v>Multiclase</x:v>
      </x:c>
      <x:c r="B72" s="8" t="str">
        <x:v>DINOv2 + metadata</x:v>
      </x:c>
      <x:c r="C72" s="8" t="str">
        <x:v>Metadata logística</x:v>
      </x:c>
      <x:c r="D72" s="24" t="n">
        <x:f>100*(AVERAGE('Por semilla'!F160:F164)-AVERAGE('Por semilla'!F110:F114))</x:f>
        <x:v>3.1593610730395905</x:v>
      </x:c>
      <x:c r="E72" s="24" t="n">
        <x:v>-1.3982156047586825</x:v>
      </x:c>
      <x:c r="F72" s="24" t="n">
        <x:v>7.612435727347757</x:v>
      </x:c>
      <x:c r="G72" s="12" t="n">
        <x:v>4</x:v>
      </x:c>
      <x:c r="H72" s="12" t="str">
        <x:v>Exploratorio</x:v>
      </x:c>
    </x:row>
    <x:row r="73" ht="23" customHeight="1">
      <x:c r="A73" s="2" t="str">
        <x:v>Multiclase</x:v>
      </x:c>
      <x:c r="B73" s="2" t="str">
        <x:v>DINOv2 + metadata</x:v>
      </x:c>
      <x:c r="C73" s="2" t="str">
        <x:v>Metadata boosting</x:v>
      </x:c>
      <x:c r="D73" s="23" t="n">
        <x:f>100*(AVERAGE('Por semilla'!F160:F164)-AVERAGE('Por semilla'!F115:F119))</x:f>
        <x:v>12.341070041591962</x:v>
      </x:c>
      <x:c r="E73" s="23" t="n">
        <x:v>6.683370852318971</x:v>
      </x:c>
      <x:c r="F73" s="23" t="n">
        <x:v>18.064013022060312</x:v>
      </x:c>
      <x:c r="G73" s="11" t="n">
        <x:v>5</x:v>
      </x:c>
      <x:c r="H73" s="11" t="str">
        <x:v>Exploratorio</x:v>
      </x:c>
    </x:row>
    <x:row r="74" ht="23" customHeight="1">
      <x:c r="A74" s="8" t="str">
        <x:v>Multiclase</x:v>
      </x:c>
      <x:c r="B74" s="8" t="str">
        <x:v>ConvNeXt + metadata</x:v>
      </x:c>
      <x:c r="C74" s="8" t="str">
        <x:v>Metadata MLP</x:v>
      </x:c>
      <x:c r="D74" s="24" t="n">
        <x:f>100*(AVERAGE('Por semilla'!F165:F169)-AVERAGE('Por semilla'!F105:F109))</x:f>
        <x:v>5.011465109538371</x:v>
      </x:c>
      <x:c r="E74" s="24" t="n">
        <x:v>0.37168130289136597</x:v>
      </x:c>
      <x:c r="F74" s="24" t="n">
        <x:v>9.967572593711187</x:v>
      </x:c>
      <x:c r="G74" s="12" t="n">
        <x:v>5</x:v>
      </x:c>
      <x:c r="H74" s="12" t="str">
        <x:v>Exploratorio</x:v>
      </x:c>
    </x:row>
    <x:row r="75" ht="23" customHeight="1">
      <x:c r="A75" s="2" t="str">
        <x:v>Multiclase</x:v>
      </x:c>
      <x:c r="B75" s="2" t="str">
        <x:v>ConvNeXt + metadata</x:v>
      </x:c>
      <x:c r="C75" s="2" t="str">
        <x:v>Metadata logística</x:v>
      </x:c>
      <x:c r="D75" s="23" t="n">
        <x:f>100*(AVERAGE('Por semilla'!F165:F169)-AVERAGE('Por semilla'!F110:F114))</x:f>
        <x:v>0.025823672624436522</x:v>
      </x:c>
      <x:c r="E75" s="23" t="n">
        <x:v>-5.906360466059951</x:v>
      </x:c>
      <x:c r="F75" s="23" t="n">
        <x:v>5.634831043439009</x:v>
      </x:c>
      <x:c r="G75" s="11" t="n">
        <x:v>1</x:v>
      </x:c>
      <x:c r="H75" s="11" t="str">
        <x:v>Exploratorio</x:v>
      </x:c>
    </x:row>
    <x:row r="76" ht="23" customHeight="1">
      <x:c r="A76" s="8" t="str">
        <x:v>Multiclase</x:v>
      </x:c>
      <x:c r="B76" s="8" t="str">
        <x:v>ConvNeXt + metadata</x:v>
      </x:c>
      <x:c r="C76" s="8" t="str">
        <x:v>Metadata boosting</x:v>
      </x:c>
      <x:c r="D76" s="24" t="n">
        <x:f>100*(AVERAGE('Por semilla'!F165:F169)-AVERAGE('Por semilla'!F115:F119))</x:f>
        <x:v>9.207532641176808</x:v>
      </x:c>
      <x:c r="E76" s="24" t="n">
        <x:v>3.1069067134646993</x:v>
      </x:c>
      <x:c r="F76" s="24" t="n">
        <x:v>15.790659656018754</x:v>
      </x:c>
      <x:c r="G76" s="12" t="n">
        <x:v>5</x:v>
      </x:c>
      <x:c r="H76" s="12" t="str">
        <x:v>Exploratorio</x:v>
      </x:c>
    </x:row>
    <x:row r="77" ht="23" customHeight="1">
      <x:c r="A77" s="2" t="str">
        <x:v>Multiclase</x:v>
      </x:c>
      <x:c r="B77" s="2" t="str">
        <x:v>A: CLIP + DINOv2 + metadata</x:v>
      </x:c>
      <x:c r="C77" s="2" t="str">
        <x:v>Metadata MLP</x:v>
      </x:c>
      <x:c r="D77" s="23" t="n">
        <x:f>100*(AVERAGE('Por semilla'!F170:F174)-AVERAGE('Por semilla'!F105:F109))</x:f>
        <x:v>11.185573879928645</x:v>
      </x:c>
      <x:c r="E77" s="23" t="n">
        <x:v>6.124802160928279</x:v>
      </x:c>
      <x:c r="F77" s="23" t="n">
        <x:v>16.009615828361618</x:v>
      </x:c>
      <x:c r="G77" s="11" t="n">
        <x:v>5</x:v>
      </x:c>
      <x:c r="H77" s="11" t="str">
        <x:v>Exploratorio</x:v>
      </x:c>
    </x:row>
    <x:row r="78" ht="23" customHeight="1">
      <x:c r="A78" s="8" t="str">
        <x:v>Multiclase</x:v>
      </x:c>
      <x:c r="B78" s="8" t="str">
        <x:v>A: CLIP + DINOv2 + metadata</x:v>
      </x:c>
      <x:c r="C78" s="8" t="str">
        <x:v>Metadata logística</x:v>
      </x:c>
      <x:c r="D78" s="24" t="n">
        <x:f>100*(AVERAGE('Por semilla'!F170:F174)-AVERAGE('Por semilla'!F110:F114))</x:f>
        <x:v>6.199932443014711</x:v>
      </x:c>
      <x:c r="E78" s="24" t="n">
        <x:v>1.055736871601041</x:v>
      </x:c>
      <x:c r="F78" s="24" t="n">
        <x:v>11.544362536187666</x:v>
      </x:c>
      <x:c r="G78" s="12" t="n">
        <x:v>5</x:v>
      </x:c>
      <x:c r="H78" s="12" t="str">
        <x:v>Exploratorio</x:v>
      </x:c>
    </x:row>
    <x:row r="79" ht="23" customHeight="1">
      <x:c r="A79" s="2" t="str">
        <x:v>Multiclase</x:v>
      </x:c>
      <x:c r="B79" s="2" t="str">
        <x:v>A: CLIP + DINOv2 + metadata</x:v>
      </x:c>
      <x:c r="C79" s="2" t="str">
        <x:v>Metadata boosting</x:v>
      </x:c>
      <x:c r="D79" s="23" t="n">
        <x:f>100*(AVERAGE('Por semilla'!F170:F174)-AVERAGE('Por semilla'!F115:F119))</x:f>
        <x:v>15.381641411567081</x:v>
      </x:c>
      <x:c r="E79" s="23" t="n">
        <x:v>10.250587345703908</x:v>
      </x:c>
      <x:c r="F79" s="23" t="n">
        <x:v>20.950019086764822</x:v>
      </x:c>
      <x:c r="G79" s="11" t="n">
        <x:v>5</x:v>
      </x:c>
      <x:c r="H79" s="11" t="str">
        <x:v>Exploratorio</x:v>
      </x:c>
    </x:row>
    <x:row r="80" ht="23" customHeight="1">
      <x:c r="A80" s="8" t="str">
        <x:v>Multiclase</x:v>
      </x:c>
      <x:c r="B80" s="8" t="str">
        <x:v>B: fusión intermedia</x:v>
      </x:c>
      <x:c r="C80" s="8" t="str">
        <x:v>Metadata MLP</x:v>
      </x:c>
      <x:c r="D80" s="24" t="n">
        <x:f>100*(AVERAGE('Por semilla'!F175:F179)-AVERAGE('Por semilla'!F105:F109))</x:f>
        <x:v>11.815083083691658</x:v>
      </x:c>
      <x:c r="E80" s="24" t="n">
        <x:v>7.02972781375653</x:v>
      </x:c>
      <x:c r="F80" s="24" t="n">
        <x:v>16.834691022533562</x:v>
      </x:c>
      <x:c r="G80" s="12" t="n">
        <x:v>5</x:v>
      </x:c>
      <x:c r="H80" s="12" t="str">
        <x:v>Exploratorio</x:v>
      </x:c>
    </x:row>
    <x:row r="81" ht="23" customHeight="1">
      <x:c r="A81" s="2" t="str">
        <x:v>Multiclase</x:v>
      </x:c>
      <x:c r="B81" s="2" t="str">
        <x:v>B: fusión intermedia</x:v>
      </x:c>
      <x:c r="C81" s="2" t="str">
        <x:v>Metadata logística</x:v>
      </x:c>
      <x:c r="D81" s="23" t="n">
        <x:f>100*(AVERAGE('Por semilla'!F175:F179)-AVERAGE('Por semilla'!F110:F114))</x:f>
        <x:v>6.829441646777723</x:v>
      </x:c>
      <x:c r="E81" s="23" t="n">
        <x:v>1.6675666918595726</x:v>
      </x:c>
      <x:c r="F81" s="23" t="n">
        <x:v>12.216690149981762</x:v>
      </x:c>
      <x:c r="G81" s="11" t="n">
        <x:v>5</x:v>
      </x:c>
      <x:c r="H81" s="11" t="str">
        <x:v>Exploratorio</x:v>
      </x:c>
    </x:row>
    <x:row r="82" ht="23" customHeight="1">
      <x:c r="A82" s="8" t="str">
        <x:v>Multiclase</x:v>
      </x:c>
      <x:c r="B82" s="8" t="str">
        <x:v>B: fusión intermedia</x:v>
      </x:c>
      <x:c r="C82" s="8" t="str">
        <x:v>Metadata boosting</x:v>
      </x:c>
      <x:c r="D82" s="24" t="n">
        <x:f>100*(AVERAGE('Por semilla'!F175:F179)-AVERAGE('Por semilla'!F115:F119))</x:f>
        <x:v>16.011150615330095</x:v>
      </x:c>
      <x:c r="E82" s="24" t="n">
        <x:v>10.696665537575816</x:v>
      </x:c>
      <x:c r="F82" s="24" t="n">
        <x:v>22.097775525553338</x:v>
      </x:c>
      <x:c r="G82" s="12" t="n">
        <x:v>5</x:v>
      </x:c>
      <x:c r="H82" s="12" t="str">
        <x:v>Exploratorio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44" hidden="0" customWidth="1"/>
    <x:col min="2" max="2" width="15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2" hidden="0" customWidth="1"/>
    <x:col min="14" max="14" width="23" hidden="0" customWidth="1"/>
    <x:col min="15" max="15" width="32" hidden="0" customWidth="1"/>
  </x:cols>
  <x:sheetData>
    <x:row r="1" ht="29" customHeight="1">
      <x:c r="A1" s="3" t="str">
        <x:v>Resultados por semilla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23" customHeight="1">
      <x:c r="A2" s="4" t="str">
        <x:v>175 entrenamientos y 10 selecciones clínicas derivadas con validación.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23" customHeight="1">
      <x:c r="A3" s="4" t="str">
        <x:v>Fuente: analysis.json y predicciones verificadas de las cuatro ejecuciones. Origen por fila en columna 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32" customHeight="1">
      <x:c r="A4" s="7" t="str">
        <x:v>Modelo</x:v>
      </x:c>
      <x:c r="B4" s="7" t="str">
        <x:v>Tarea</x:v>
      </x:c>
      <x:c r="C4" s="7" t="str">
        <x:v>Semilla</x:v>
      </x:c>
      <x:c r="D4" s="7" t="str">
        <x:v>AUC / OvR</x:v>
      </x:c>
      <x:c r="E4" s="7" t="str">
        <x:v>Accuracy</x:v>
      </x:c>
      <x:c r="F4" s="7" t="str">
        <x:v>BACC</x:v>
      </x:c>
      <x:c r="G4" s="7" t="str">
        <x:v>Recall</x:v>
      </x:c>
      <x:c r="H4" s="7" t="str">
        <x:v>F1</x:v>
      </x:c>
      <x:c r="I4" s="7" t="str">
        <x:v>Precisión</x:v>
      </x:c>
      <x:c r="J4" s="7" t="str">
        <x:v>AP</x:v>
      </x:c>
      <x:c r="K4" s="7" t="str">
        <x:v>Brier</x:v>
      </x:c>
      <x:c r="L4" s="7" t="str">
        <x:v>ECE</x:v>
      </x:c>
      <x:c r="M4" s="7" t="str">
        <x:v>Pérdida</x:v>
      </x:c>
      <x:c r="N4" s="7" t="str">
        <x:v>Tipo de resultado</x:v>
      </x:c>
      <x:c r="O4" s="7" t="str">
        <x:v>Origen</x:v>
      </x:c>
    </x:row>
    <x:row r="5" ht="23" customHeight="1">
      <x:c r="A5" s="2" t="str">
        <x:v>Metadata MLP</x:v>
      </x:c>
      <x:c r="B5" s="2" t="str">
        <x:v>Binaria</x:v>
      </x:c>
      <x:c r="C5" s="17" t="n">
        <x:v>42</x:v>
      </x:c>
      <x:c r="D5" s="18" t="n">
        <x:v>0.9411050394656952</x:v>
      </x:c>
      <x:c r="E5" s="18" t="n">
        <x:v>0.8652173913043478</x:v>
      </x:c>
      <x:c r="F5" s="18" t="n">
        <x:v>0.86710686095932</x:v>
      </x:c>
      <x:c r="G5" s="18" t="n">
        <x:v>0.8981481481481481</x:v>
      </x:c>
      <x:c r="H5" s="18" t="n">
        <x:v>0.8622222222222222</x:v>
      </x:c>
      <x:c r="I5" s="18" t="n">
        <x:v>0.8290598290598291</x:v>
      </x:c>
      <x:c r="J5" s="18" t="n">
        <x:v>0.9142489329453829</x:v>
      </x:c>
      <x:c r="K5" s="18" t="n">
        <x:v>0.09406633700093783</x:v>
      </x:c>
      <x:c r="L5" s="18" t="n">
        <x:v>0.06795076878113049</x:v>
      </x:c>
      <x:c r="M5" s="11" t="str">
        <x:v>bce</x:v>
      </x:c>
      <x:c r="N5" s="2" t="str">
        <x:v>Entrenamiento</x:v>
      </x:c>
      <x:c r="O5" s="2" t="str">
        <x:v>metadata_only_v1</x:v>
      </x:c>
    </x:row>
    <x:row r="6" ht="23" customHeight="1">
      <x:c r="A6" s="8" t="str">
        <x:v>Metadata MLP</x:v>
      </x:c>
      <x:c r="B6" s="8" t="str">
        <x:v>Binaria</x:v>
      </x:c>
      <x:c r="C6" s="19" t="n">
        <x:v>123</x:v>
      </x:c>
      <x:c r="D6" s="20" t="n">
        <x:v>0.9589051482295853</x:v>
      </x:c>
      <x:c r="E6" s="20" t="n">
        <x:v>0.9130434782608695</x:v>
      </x:c>
      <x:c r="F6" s="20" t="n">
        <x:v>0.914625824550762</x:v>
      </x:c>
      <x:c r="G6" s="20" t="n">
        <x:v>0.944954128440367</x:v>
      </x:c>
      <x:c r="H6" s="20" t="n">
        <x:v>0.911504424778761</x:v>
      </x:c>
      <x:c r="I6" s="20" t="n">
        <x:v>0.8803418803418803</x:v>
      </x:c>
      <x:c r="J6" s="20" t="n">
        <x:v>0.9279008977081241</x:v>
      </x:c>
      <x:c r="K6" s="20" t="n">
        <x:v>0.07397714535681478</x:v>
      </x:c>
      <x:c r="L6" s="20" t="n">
        <x:v>0.041791206621739144</x:v>
      </x:c>
      <x:c r="M6" s="12" t="str">
        <x:v>bce</x:v>
      </x:c>
      <x:c r="N6" s="8" t="str">
        <x:v>Entrenamiento</x:v>
      </x:c>
      <x:c r="O6" s="8" t="str">
        <x:v>metadata_only_v1</x:v>
      </x:c>
    </x:row>
    <x:row r="7" ht="23" customHeight="1">
      <x:c r="A7" s="2" t="str">
        <x:v>Metadata MLP</x:v>
      </x:c>
      <x:c r="B7" s="2" t="str">
        <x:v>Binaria</x:v>
      </x:c>
      <x:c r="C7" s="17" t="n">
        <x:v>456</x:v>
      </x:c>
      <x:c r="D7" s="18" t="n">
        <x:v>0.9224732731821972</x:v>
      </x:c>
      <x:c r="E7" s="18" t="n">
        <x:v>0.8391304347826087</x:v>
      </x:c>
      <x:c r="F7" s="18" t="n">
        <x:v>0.841193418758056</x:v>
      </x:c>
      <x:c r="G7" s="18" t="n">
        <x:v>0.8807339449541285</x:v>
      </x:c>
      <x:c r="H7" s="18" t="n">
        <x:v>0.8384279475982532</x:v>
      </x:c>
      <x:c r="I7" s="18" t="n">
        <x:v>0.8</x:v>
      </x:c>
      <x:c r="J7" s="18" t="n">
        <x:v>0.9036055114568291</x:v>
      </x:c>
      <x:c r="K7" s="18" t="n">
        <x:v>0.12412984560391849</x:v>
      </x:c>
      <x:c r="L7" s="18" t="n">
        <x:v>0.09439267405543486</x:v>
      </x:c>
      <x:c r="M7" s="11" t="str">
        <x:v>bce</x:v>
      </x:c>
      <x:c r="N7" s="2" t="str">
        <x:v>Entrenamiento</x:v>
      </x:c>
      <x:c r="O7" s="2" t="str">
        <x:v>metadata_only_v1</x:v>
      </x:c>
    </x:row>
    <x:row r="8" ht="23" customHeight="1">
      <x:c r="A8" s="8" t="str">
        <x:v>Metadata MLP</x:v>
      </x:c>
      <x:c r="B8" s="8" t="str">
        <x:v>Binaria</x:v>
      </x:c>
      <x:c r="C8" s="19" t="n">
        <x:v>789</x:v>
      </x:c>
      <x:c r="D8" s="20" t="n">
        <x:v>0.924408014571949</x:v>
      </x:c>
      <x:c r="E8" s="20" t="n">
        <x:v>0.8521739130434782</x:v>
      </x:c>
      <x:c r="F8" s="20" t="n">
        <x:v>0.8564055859137827</x:v>
      </x:c>
      <x:c r="G8" s="20" t="n">
        <x:v>0.9259259259259259</x:v>
      </x:c>
      <x:c r="H8" s="20" t="n">
        <x:v>0.8547008547008547</x:v>
      </x:c>
      <x:c r="I8" s="20" t="n">
        <x:v>0.7936507936507936</x:v>
      </x:c>
      <x:c r="J8" s="20" t="n">
        <x:v>0.8762056341966352</x:v>
      </x:c>
      <x:c r="K8" s="20" t="n">
        <x:v>0.1075022038533918</x:v>
      </x:c>
      <x:c r="L8" s="20" t="n">
        <x:v>0.06230697962530432</x:v>
      </x:c>
      <x:c r="M8" s="12" t="str">
        <x:v>bce</x:v>
      </x:c>
      <x:c r="N8" s="8" t="str">
        <x:v>Entrenamiento</x:v>
      </x:c>
      <x:c r="O8" s="8" t="str">
        <x:v>metadata_only_v1</x:v>
      </x:c>
    </x:row>
    <x:row r="9" ht="23" customHeight="1">
      <x:c r="A9" s="2" t="str">
        <x:v>Metadata MLP</x:v>
      </x:c>
      <x:c r="B9" s="2" t="str">
        <x:v>Binaria</x:v>
      </x:c>
      <x:c r="C9" s="17" t="n">
        <x:v>2024</x:v>
      </x:c>
      <x:c r="D9" s="18" t="n">
        <x:v>0.9579952991128972</x:v>
      </x:c>
      <x:c r="E9" s="18" t="n">
        <x:v>0.8652173913043478</x:v>
      </x:c>
      <x:c r="F9" s="18" t="n">
        <x:v>0.8668966563044962</x:v>
      </x:c>
      <x:c r="G9" s="18" t="n">
        <x:v>0.8990825688073395</x:v>
      </x:c>
      <x:c r="H9" s="18" t="n">
        <x:v>0.8634361233480177</x:v>
      </x:c>
      <x:c r="I9" s="18" t="n">
        <x:v>0.8305084745762712</x:v>
      </x:c>
      <x:c r="J9" s="18" t="n">
        <x:v>0.9552982593242764</x:v>
      </x:c>
      <x:c r="K9" s="18" t="n">
        <x:v>0.08513800389784634</x:v>
      </x:c>
      <x:c r="L9" s="18" t="n">
        <x:v>0.05402834376234781</x:v>
      </x:c>
      <x:c r="M9" s="11" t="str">
        <x:v>bce</x:v>
      </x:c>
      <x:c r="N9" s="2" t="str">
        <x:v>Entrenamiento</x:v>
      </x:c>
      <x:c r="O9" s="2" t="str">
        <x:v>metadata_only_v1</x:v>
      </x:c>
    </x:row>
    <x:row r="10" ht="23" customHeight="1">
      <x:c r="A10" s="8" t="str">
        <x:v>Metadata logística</x:v>
      </x:c>
      <x:c r="B10" s="8" t="str">
        <x:v>Binaria</x:v>
      </x:c>
      <x:c r="C10" s="19" t="n">
        <x:v>42</x:v>
      </x:c>
      <x:c r="D10" s="20" t="n">
        <x:v>0.9593958712811173</x:v>
      </x:c>
      <x:c r="E10" s="20" t="n">
        <x:v>0.8913043478260869</x:v>
      </x:c>
      <x:c r="F10" s="20" t="n">
        <x:v>0.8906344869459624</x:v>
      </x:c>
      <x:c r="G10" s="20" t="n">
        <x:v>0.8796296296296297</x:v>
      </x:c>
      <x:c r="H10" s="20" t="n">
        <x:v>0.8837209302325582</x:v>
      </x:c>
      <x:c r="I10" s="20" t="n">
        <x:v>0.8878504672897196</x:v>
      </x:c>
      <x:c r="J10" s="20" t="n">
        <x:v>0.9560038417961485</x:v>
      </x:c>
      <x:c r="K10" s="20" t="n">
        <x:v>0.08122572014753121</x:v>
      </x:c>
      <x:c r="L10" s="20" t="n">
        <x:v>0.04518266627680328</x:v>
      </x:c>
      <x:c r="M10" s="12" t="str">
        <x:v>log_loss</x:v>
      </x:c>
      <x:c r="N10" s="8" t="str">
        <x:v>Entrenamiento</x:v>
      </x:c>
      <x:c r="O10" s="8" t="str">
        <x:v>thesis_completion_v1</x:v>
      </x:c>
    </x:row>
    <x:row r="11" ht="23" customHeight="1">
      <x:c r="A11" s="2" t="str">
        <x:v>Metadata logística</x:v>
      </x:c>
      <x:c r="B11" s="2" t="str">
        <x:v>Binaria</x:v>
      </x:c>
      <x:c r="C11" s="17" t="n">
        <x:v>123</x:v>
      </x:c>
      <x:c r="D11" s="18" t="n">
        <x:v>0.9503374023807718</x:v>
      </x:c>
      <x:c r="E11" s="18" t="n">
        <x:v>0.9</x:v>
      </x:c>
      <x:c r="F11" s="18" t="n">
        <x:v>0.9004094321025097</x:v>
      </x:c>
      <x:c r="G11" s="18" t="n">
        <x:v>0.908256880733945</x:v>
      </x:c>
      <x:c r="H11" s="18" t="n">
        <x:v>0.8959276018099548</x:v>
      </x:c>
      <x:c r="I11" s="18" t="n">
        <x:v>0.8839285714285714</x:v>
      </x:c>
      <x:c r="J11" s="18" t="n">
        <x:v>0.9315125789696037</x:v>
      </x:c>
      <x:c r="K11" s="18" t="n">
        <x:v>0.08559360398212083</x:v>
      </x:c>
      <x:c r="L11" s="18" t="n">
        <x:v>0.07176864437392041</x:v>
      </x:c>
      <x:c r="M11" s="11" t="str">
        <x:v>log_loss</x:v>
      </x:c>
      <x:c r="N11" s="2" t="str">
        <x:v>Entrenamiento</x:v>
      </x:c>
      <x:c r="O11" s="2" t="str">
        <x:v>thesis_completion_v1</x:v>
      </x:c>
    </x:row>
    <x:row r="12" ht="23" customHeight="1">
      <x:c r="A12" s="8" t="str">
        <x:v>Metadata logística</x:v>
      </x:c>
      <x:c r="B12" s="8" t="str">
        <x:v>Binaria</x:v>
      </x:c>
      <x:c r="C12" s="19" t="n">
        <x:v>456</x:v>
      </x:c>
      <x:c r="D12" s="20" t="n">
        <x:v>0.9219425278641292</x:v>
      </x:c>
      <x:c r="E12" s="20" t="n">
        <x:v>0.8391304347826087</x:v>
      </x:c>
      <x:c r="F12" s="20" t="n">
        <x:v>0.8398286450830237</x:v>
      </x:c>
      <x:c r="G12" s="20" t="n">
        <x:v>0.8532110091743119</x:v>
      </x:c>
      <x:c r="H12" s="20" t="n">
        <x:v>0.8340807174887892</x:v>
      </x:c>
      <x:c r="I12" s="20" t="n">
        <x:v>0.8157894736842105</x:v>
      </x:c>
      <x:c r="J12" s="20" t="n">
        <x:v>0.9013983924681949</x:v>
      </x:c>
      <x:c r="K12" s="20" t="n">
        <x:v>0.11257945862977912</x:v>
      </x:c>
      <x:c r="L12" s="20" t="n">
        <x:v>0.06197468945075443</x:v>
      </x:c>
      <x:c r="M12" s="12" t="str">
        <x:v>log_loss</x:v>
      </x:c>
      <x:c r="N12" s="8" t="str">
        <x:v>Entrenamiento</x:v>
      </x:c>
      <x:c r="O12" s="8" t="str">
        <x:v>thesis_completion_v1</x:v>
      </x:c>
    </x:row>
    <x:row r="13" ht="23" customHeight="1">
      <x:c r="A13" s="2" t="str">
        <x:v>Metadata logística</x:v>
      </x:c>
      <x:c r="B13" s="2" t="str">
        <x:v>Binaria</x:v>
      </x:c>
      <x:c r="C13" s="17" t="n">
        <x:v>789</x:v>
      </x:c>
      <x:c r="D13" s="18" t="n">
        <x:v>0.9047510625379478</x:v>
      </x:c>
      <x:c r="E13" s="18" t="n">
        <x:v>0.8391304347826087</x:v>
      </x:c>
      <x:c r="F13" s="18" t="n">
        <x:v>0.8419854280510017</x:v>
      </x:c>
      <x:c r="G13" s="18" t="n">
        <x:v>0.8888888888888888</x:v>
      </x:c>
      <x:c r="H13" s="18" t="n">
        <x:v>0.8384279475982532</x:v>
      </x:c>
      <x:c r="I13" s="18" t="n">
        <x:v>0.7933884297520661</x:v>
      </x:c>
      <x:c r="J13" s="18" t="n">
        <x:v>0.8753353579230985</x:v>
      </x:c>
      <x:c r="K13" s="18" t="n">
        <x:v>0.12071831295158858</x:v>
      </x:c>
      <x:c r="L13" s="18" t="n">
        <x:v>0.0861248131651072</x:v>
      </x:c>
      <x:c r="M13" s="11" t="str">
        <x:v>log_loss</x:v>
      </x:c>
      <x:c r="N13" s="2" t="str">
        <x:v>Entrenamiento</x:v>
      </x:c>
      <x:c r="O13" s="2" t="str">
        <x:v>thesis_completion_v1</x:v>
      </x:c>
    </x:row>
    <x:row r="14" ht="23" customHeight="1">
      <x:c r="A14" s="8" t="str">
        <x:v>Metadata logística</x:v>
      </x:c>
      <x:c r="B14" s="8" t="str">
        <x:v>Binaria</x:v>
      </x:c>
      <x:c r="C14" s="19" t="n">
        <x:v>2024</x:v>
      </x:c>
      <x:c r="D14" s="20" t="n">
        <x:v>0.9470012889529154</x:v>
      </x:c>
      <x:c r="E14" s="20" t="n">
        <x:v>0.8739130434782608</x:v>
      </x:c>
      <x:c r="F14" s="20" t="n">
        <x:v>0.8747061945560695</x:v>
      </x:c>
      <x:c r="G14" s="20" t="n">
        <x:v>0.8899082568807339</x:v>
      </x:c>
      <x:c r="H14" s="20" t="n">
        <x:v>0.8699551569506726</x:v>
      </x:c>
      <x:c r="I14" s="20" t="n">
        <x:v>0.8508771929824561</x:v>
      </x:c>
      <x:c r="J14" s="20" t="n">
        <x:v>0.9325821795651056</x:v>
      </x:c>
      <x:c r="K14" s="20" t="n">
        <x:v>0.08965276401674042</x:v>
      </x:c>
      <x:c r="L14" s="20" t="n">
        <x:v>0.0478151830058375</x:v>
      </x:c>
      <x:c r="M14" s="12" t="str">
        <x:v>log_loss</x:v>
      </x:c>
      <x:c r="N14" s="8" t="str">
        <x:v>Entrenamiento</x:v>
      </x:c>
      <x:c r="O14" s="8" t="str">
        <x:v>thesis_completion_v1</x:v>
      </x:c>
    </x:row>
    <x:row r="15" ht="23" customHeight="1">
      <x:c r="A15" s="2" t="str">
        <x:v>Metadata boosting</x:v>
      </x:c>
      <x:c r="B15" s="2" t="str">
        <x:v>Binaria</x:v>
      </x:c>
      <x:c r="C15" s="17" t="n">
        <x:v>42</x:v>
      </x:c>
      <x:c r="D15" s="18" t="n">
        <x:v>0.963949605343048</x:v>
      </x:c>
      <x:c r="E15" s="18" t="n">
        <x:v>0.9</x:v>
      </x:c>
      <x:c r="F15" s="18" t="n">
        <x:v>0.9036126290224651</x:v>
      </x:c>
      <x:c r="G15" s="18" t="n">
        <x:v>0.9629629629629629</x:v>
      </x:c>
      <x:c r="H15" s="18" t="n">
        <x:v>0.9004329004329005</x:v>
      </x:c>
      <x:c r="I15" s="18" t="n">
        <x:v>0.8455284552845529</x:v>
      </x:c>
      <x:c r="J15" s="18" t="n">
        <x:v>0.9463395380440275</x:v>
      </x:c>
      <x:c r="K15" s="18" t="n">
        <x:v>0.07254000361961982</x:v>
      </x:c>
      <x:c r="L15" s="18" t="n">
        <x:v>0.05059444372549666</x:v>
      </x:c>
      <x:c r="M15" s="11" t="str">
        <x:v>log_loss</x:v>
      </x:c>
      <x:c r="N15" s="2" t="str">
        <x:v>Entrenamiento</x:v>
      </x:c>
      <x:c r="O15" s="2" t="str">
        <x:v>thesis_completion_v1</x:v>
      </x:c>
    </x:row>
    <x:row r="16" ht="23" customHeight="1">
      <x:c r="A16" s="8" t="str">
        <x:v>Metadata boosting</x:v>
      </x:c>
      <x:c r="B16" s="8" t="str">
        <x:v>Binaria</x:v>
      </x:c>
      <x:c r="C16" s="19" t="n">
        <x:v>123</x:v>
      </x:c>
      <x:c r="D16" s="20" t="n">
        <x:v>0.9629994692546819</x:v>
      </x:c>
      <x:c r="E16" s="20" t="n">
        <x:v>0.8956521739130435</x:v>
      </x:c>
      <x:c r="F16" s="20" t="n">
        <x:v>0.895822276139207</x:v>
      </x:c>
      <x:c r="G16" s="20" t="n">
        <x:v>0.8990825688073395</x:v>
      </x:c>
      <x:c r="H16" s="20" t="n">
        <x:v>0.8909090909090909</x:v>
      </x:c>
      <x:c r="I16" s="20" t="n">
        <x:v>0.8828828828828829</x:v>
      </x:c>
      <x:c r="J16" s="20" t="n">
        <x:v>0.9357393474343677</x:v>
      </x:c>
      <x:c r="K16" s="20" t="n">
        <x:v>0.06992887249737408</x:v>
      </x:c>
      <x:c r="L16" s="20" t="n">
        <x:v>0.05132526616643061</x:v>
      </x:c>
      <x:c r="M16" s="12" t="str">
        <x:v>log_loss</x:v>
      </x:c>
      <x:c r="N16" s="8" t="str">
        <x:v>Entrenamiento</x:v>
      </x:c>
      <x:c r="O16" s="8" t="str">
        <x:v>thesis_completion_v1</x:v>
      </x:c>
    </x:row>
    <x:row r="17" ht="23" customHeight="1">
      <x:c r="A17" s="2" t="str">
        <x:v>Metadata boosting</x:v>
      </x:c>
      <x:c r="B17" s="2" t="str">
        <x:v>Binaria</x:v>
      </x:c>
      <x:c r="C17" s="17" t="n">
        <x:v>456</x:v>
      </x:c>
      <x:c r="D17" s="18" t="n">
        <x:v>0.9415042838729244</x:v>
      </x:c>
      <x:c r="E17" s="18" t="n">
        <x:v>0.8521739130434782</x:v>
      </x:c>
      <x:c r="F17" s="18" t="n">
        <x:v>0.8499507165061795</x:v>
      </x:c>
      <x:c r="G17" s="18" t="n">
        <x:v>0.8073394495412844</x:v>
      </x:c>
      <x:c r="H17" s="18" t="n">
        <x:v>0.8380952380952381</x:v>
      </x:c>
      <x:c r="I17" s="18" t="n">
        <x:v>0.8712871287128713</x:v>
      </x:c>
      <x:c r="J17" s="18" t="n">
        <x:v>0.9245302472944024</x:v>
      </x:c>
      <x:c r="K17" s="18" t="n">
        <x:v>0.09970747929754714</x:v>
      </x:c>
      <x:c r="L17" s="18" t="n">
        <x:v>0.06515917205594646</x:v>
      </x:c>
      <x:c r="M17" s="11" t="str">
        <x:v>log_loss</x:v>
      </x:c>
      <x:c r="N17" s="2" t="str">
        <x:v>Entrenamiento</x:v>
      </x:c>
      <x:c r="O17" s="2" t="str">
        <x:v>thesis_completion_v1</x:v>
      </x:c>
    </x:row>
    <x:row r="18" ht="23" customHeight="1">
      <x:c r="A18" s="8" t="str">
        <x:v>Metadata boosting</x:v>
      </x:c>
      <x:c r="B18" s="8" t="str">
        <x:v>Binaria</x:v>
      </x:c>
      <x:c r="C18" s="19" t="n">
        <x:v>789</x:v>
      </x:c>
      <x:c r="D18" s="20" t="n">
        <x:v>0.9279751062537948</x:v>
      </x:c>
      <x:c r="E18" s="20" t="n">
        <x:v>0.8565217391304348</x:v>
      </x:c>
      <x:c r="F18" s="20" t="n">
        <x:v>0.862629022465088</x:v>
      </x:c>
      <x:c r="G18" s="20" t="n">
        <x:v>0.9629629629629629</x:v>
      </x:c>
      <x:c r="H18" s="20" t="n">
        <x:v>0.8630705394190872</x:v>
      </x:c>
      <x:c r="I18" s="20" t="n">
        <x:v>0.7819548872180451</x:v>
      </x:c>
      <x:c r="J18" s="20" t="n">
        <x:v>0.8894274032410017</x:v>
      </x:c>
      <x:c r="K18" s="20" t="n">
        <x:v>0.10113170598342487</x:v>
      </x:c>
      <x:c r="L18" s="20" t="n">
        <x:v>0.074029974505708</x:v>
      </x:c>
      <x:c r="M18" s="12" t="str">
        <x:v>log_loss</x:v>
      </x:c>
      <x:c r="N18" s="8" t="str">
        <x:v>Entrenamiento</x:v>
      </x:c>
      <x:c r="O18" s="8" t="str">
        <x:v>thesis_completion_v1</x:v>
      </x:c>
    </x:row>
    <x:row r="19" ht="23" customHeight="1">
      <x:c r="A19" s="2" t="str">
        <x:v>Metadata boosting</x:v>
      </x:c>
      <x:c r="B19" s="2" t="str">
        <x:v>Binaria</x:v>
      </x:c>
      <x:c r="C19" s="17" t="n">
        <x:v>2024</x:v>
      </x:c>
      <x:c r="D19" s="18" t="n">
        <x:v>0.9581469406323452</x:v>
      </x:c>
      <x:c r="E19" s="18" t="n">
        <x:v>0.8826086956521739</x:v>
      </x:c>
      <x:c r="F19" s="18" t="n">
        <x:v>0.8829706573659868</x:v>
      </x:c>
      <x:c r="G19" s="18" t="n">
        <x:v>0.8899082568807339</x:v>
      </x:c>
      <x:c r="H19" s="18" t="n">
        <x:v>0.8778280542986425</x:v>
      </x:c>
      <x:c r="I19" s="18" t="n">
        <x:v>0.8660714285714286</x:v>
      </x:c>
      <x:c r="J19" s="18" t="n">
        <x:v>0.949854086740657</x:v>
      </x:c>
      <x:c r="K19" s="18" t="n">
        <x:v>0.08323178915216287</x:v>
      </x:c>
      <x:c r="L19" s="18" t="n">
        <x:v>0.06148306066258181</x:v>
      </x:c>
      <x:c r="M19" s="11" t="str">
        <x:v>log_loss</x:v>
      </x:c>
      <x:c r="N19" s="2" t="str">
        <x:v>Entrenamiento</x:v>
      </x:c>
      <x:c r="O19" s="2" t="str">
        <x:v>thesis_completion_v1</x:v>
      </x:c>
    </x:row>
    <x:row r="20" ht="23" customHeight="1">
      <x:c r="A20" s="8" t="str">
        <x:v>Metadata elegida con validación</x:v>
      </x:c>
      <x:c r="B20" s="8" t="str">
        <x:v>Binaria</x:v>
      </x:c>
      <x:c r="C20" s="19" t="n">
        <x:v>42</x:v>
      </x:c>
      <x:c r="D20" s="20" t="n">
        <x:v>0.9411050394656952</x:v>
      </x:c>
      <x:c r="E20" s="20" t="n">
        <x:v>0.8652173913043478</x:v>
      </x:c>
      <x:c r="F20" s="20" t="n">
        <x:v>0.86710686095932</x:v>
      </x:c>
      <x:c r="G20" s="20" t="n">
        <x:v>0.8981481481481481</x:v>
      </x:c>
      <x:c r="H20" s="20" t="n">
        <x:v>0.8622222222222222</x:v>
      </x:c>
      <x:c r="I20" s="20" t="n">
        <x:v>0.8290598290598291</x:v>
      </x:c>
      <x:c r="J20" s="20" t="n">
        <x:v>0.9142489329453829</x:v>
      </x:c>
      <x:c r="K20" s="20" t="n">
        <x:v>0.09406633700093783</x:v>
      </x:c>
      <x:c r="L20" s="20" t="n">
        <x:v>0.06795076878113049</x:v>
      </x:c>
      <x:c r="M20" s="12" t="str">
        <x:v>bce</x:v>
      </x:c>
      <x:c r="N20" s="8" t="str">
        <x:v>Selección derivada</x:v>
      </x:c>
      <x:c r="O20" s="8" t="str">
        <x:v>metadata_only_v1</x:v>
      </x:c>
    </x:row>
    <x:row r="21" ht="23" customHeight="1">
      <x:c r="A21" s="2" t="str">
        <x:v>Metadata elegida con validación</x:v>
      </x:c>
      <x:c r="B21" s="2" t="str">
        <x:v>Binaria</x:v>
      </x:c>
      <x:c r="C21" s="17" t="n">
        <x:v>123</x:v>
      </x:c>
      <x:c r="D21" s="18" t="n">
        <x:v>0.9629994692546819</x:v>
      </x:c>
      <x:c r="E21" s="18" t="n">
        <x:v>0.8956521739130435</x:v>
      </x:c>
      <x:c r="F21" s="18" t="n">
        <x:v>0.895822276139207</x:v>
      </x:c>
      <x:c r="G21" s="18" t="n">
        <x:v>0.8990825688073395</x:v>
      </x:c>
      <x:c r="H21" s="18" t="n">
        <x:v>0.8909090909090909</x:v>
      </x:c>
      <x:c r="I21" s="18" t="n">
        <x:v>0.8828828828828829</x:v>
      </x:c>
      <x:c r="J21" s="18" t="n">
        <x:v>0.9357393474343677</x:v>
      </x:c>
      <x:c r="K21" s="18" t="n">
        <x:v>0.06992887249737408</x:v>
      </x:c>
      <x:c r="L21" s="18" t="n">
        <x:v>0.05132526616643061</x:v>
      </x:c>
      <x:c r="M21" s="11" t="str">
        <x:v>log_loss</x:v>
      </x:c>
      <x:c r="N21" s="2" t="str">
        <x:v>Selección derivada</x:v>
      </x:c>
      <x:c r="O21" s="2" t="str">
        <x:v>thesis_completion_v1</x:v>
      </x:c>
    </x:row>
    <x:row r="22" ht="23" customHeight="1">
      <x:c r="A22" s="8" t="str">
        <x:v>Metadata elegida con validación</x:v>
      </x:c>
      <x:c r="B22" s="8" t="str">
        <x:v>Binaria</x:v>
      </x:c>
      <x:c r="C22" s="19" t="n">
        <x:v>456</x:v>
      </x:c>
      <x:c r="D22" s="20" t="n">
        <x:v>0.9224732731821972</x:v>
      </x:c>
      <x:c r="E22" s="20" t="n">
        <x:v>0.8391304347826087</x:v>
      </x:c>
      <x:c r="F22" s="20" t="n">
        <x:v>0.841193418758056</x:v>
      </x:c>
      <x:c r="G22" s="20" t="n">
        <x:v>0.8807339449541285</x:v>
      </x:c>
      <x:c r="H22" s="20" t="n">
        <x:v>0.8384279475982532</x:v>
      </x:c>
      <x:c r="I22" s="20" t="n">
        <x:v>0.8</x:v>
      </x:c>
      <x:c r="J22" s="20" t="n">
        <x:v>0.9036055114568291</x:v>
      </x:c>
      <x:c r="K22" s="20" t="n">
        <x:v>0.12412984560391849</x:v>
      </x:c>
      <x:c r="L22" s="20" t="n">
        <x:v>0.09439267405543486</x:v>
      </x:c>
      <x:c r="M22" s="12" t="str">
        <x:v>bce</x:v>
      </x:c>
      <x:c r="N22" s="8" t="str">
        <x:v>Selección derivada</x:v>
      </x:c>
      <x:c r="O22" s="8" t="str">
        <x:v>metadata_only_v1</x:v>
      </x:c>
    </x:row>
    <x:row r="23" ht="23" customHeight="1">
      <x:c r="A23" s="2" t="str">
        <x:v>Metadata elegida con validación</x:v>
      </x:c>
      <x:c r="B23" s="2" t="str">
        <x:v>Binaria</x:v>
      </x:c>
      <x:c r="C23" s="17" t="n">
        <x:v>789</x:v>
      </x:c>
      <x:c r="D23" s="18" t="n">
        <x:v>0.9279751062537948</x:v>
      </x:c>
      <x:c r="E23" s="18" t="n">
        <x:v>0.8565217391304348</x:v>
      </x:c>
      <x:c r="F23" s="18" t="n">
        <x:v>0.862629022465088</x:v>
      </x:c>
      <x:c r="G23" s="18" t="n">
        <x:v>0.9629629629629629</x:v>
      </x:c>
      <x:c r="H23" s="18" t="n">
        <x:v>0.8630705394190872</x:v>
      </x:c>
      <x:c r="I23" s="18" t="n">
        <x:v>0.7819548872180451</x:v>
      </x:c>
      <x:c r="J23" s="18" t="n">
        <x:v>0.8894274032410017</x:v>
      </x:c>
      <x:c r="K23" s="18" t="n">
        <x:v>0.10113170598342487</x:v>
      </x:c>
      <x:c r="L23" s="18" t="n">
        <x:v>0.074029974505708</x:v>
      </x:c>
      <x:c r="M23" s="11" t="str">
        <x:v>log_loss</x:v>
      </x:c>
      <x:c r="N23" s="2" t="str">
        <x:v>Selección derivada</x:v>
      </x:c>
      <x:c r="O23" s="2" t="str">
        <x:v>thesis_completion_v1</x:v>
      </x:c>
    </x:row>
    <x:row r="24" ht="23" customHeight="1">
      <x:c r="A24" s="8" t="str">
        <x:v>Metadata elegida con validación</x:v>
      </x:c>
      <x:c r="B24" s="8" t="str">
        <x:v>Binaria</x:v>
      </x:c>
      <x:c r="C24" s="19" t="n">
        <x:v>2024</x:v>
      </x:c>
      <x:c r="D24" s="20" t="n">
        <x:v>0.9581469406323452</x:v>
      </x:c>
      <x:c r="E24" s="20" t="n">
        <x:v>0.8826086956521739</x:v>
      </x:c>
      <x:c r="F24" s="20" t="n">
        <x:v>0.8829706573659868</x:v>
      </x:c>
      <x:c r="G24" s="20" t="n">
        <x:v>0.8899082568807339</x:v>
      </x:c>
      <x:c r="H24" s="20" t="n">
        <x:v>0.8778280542986425</x:v>
      </x:c>
      <x:c r="I24" s="20" t="n">
        <x:v>0.8660714285714286</x:v>
      </x:c>
      <x:c r="J24" s="20" t="n">
        <x:v>0.949854086740657</x:v>
      </x:c>
      <x:c r="K24" s="20" t="n">
        <x:v>0.08323178915216287</x:v>
      </x:c>
      <x:c r="L24" s="20" t="n">
        <x:v>0.06148306066258181</x:v>
      </x:c>
      <x:c r="M24" s="12" t="str">
        <x:v>log_loss</x:v>
      </x:c>
      <x:c r="N24" s="8" t="str">
        <x:v>Selección derivada</x:v>
      </x:c>
      <x:c r="O24" s="8" t="str">
        <x:v>thesis_completion_v1</x:v>
      </x:c>
    </x:row>
    <x:row r="25" ht="23" customHeight="1">
      <x:c r="A25" s="2" t="str">
        <x:v>Prior empírico de train</x:v>
      </x:c>
      <x:c r="B25" s="2" t="str">
        <x:v>Binaria</x:v>
      </x:c>
      <x:c r="C25" s="17" t="n">
        <x:v>42</x:v>
      </x:c>
      <x:c r="D25" s="18" t="n">
        <x:v>0.5</x:v>
      </x:c>
      <x:c r="E25" s="18" t="n">
        <x:v>0.5304347826086957</x:v>
      </x:c>
      <x:c r="F25" s="18" t="n">
        <x:v>0.5</x:v>
      </x:c>
      <x:c r="G25" s="18" t="n">
        <x:v>0</x:v>
      </x:c>
      <x:c r="H25" s="18" t="n">
        <x:v>0</x:v>
      </x:c>
      <x:c r="I25" s="18" t="n">
        <x:v>0</x:v>
      </x:c>
      <x:c r="J25" s="18" t="n">
        <x:v>0.46956521739130436</x:v>
      </x:c>
      <x:c r="K25" s="18" t="n">
        <x:v>0.24909737773207932</x:v>
      </x:c>
      <x:c r="L25" s="18" t="n">
        <x:v>0.004863509485735773</x:v>
      </x:c>
      <x:c r="M25" s="11" t="str">
        <x:v>prior</x:v>
      </x:c>
      <x:c r="N25" s="2" t="str">
        <x:v>Entrenamiento</x:v>
      </x:c>
      <x:c r="O25" s="2" t="str">
        <x:v>metadata_empirical_prior_v1</x:v>
      </x:c>
    </x:row>
    <x:row r="26" ht="23" customHeight="1">
      <x:c r="A26" s="8" t="str">
        <x:v>Prior empírico de train</x:v>
      </x:c>
      <x:c r="B26" s="8" t="str">
        <x:v>Binaria</x:v>
      </x:c>
      <x:c r="C26" s="19" t="n">
        <x:v>123</x:v>
      </x:c>
      <x:c r="D26" s="20" t="n">
        <x:v>0.5</x:v>
      </x:c>
      <x:c r="E26" s="20" t="n">
        <x:v>0.5260869565217391</x:v>
      </x:c>
      <x:c r="F26" s="20" t="n">
        <x:v>0.5</x:v>
      </x:c>
      <x:c r="G26" s="20" t="n">
        <x:v>0</x:v>
      </x:c>
      <x:c r="H26" s="20" t="n">
        <x:v>0</x:v>
      </x:c>
      <x:c r="I26" s="20" t="n">
        <x:v>0</x:v>
      </x:c>
      <x:c r="J26" s="20" t="n">
        <x:v>0.47391304347826085</x:v>
      </x:c>
      <x:c r="K26" s="20" t="n">
        <x:v>0.2493194715052117</x:v>
      </x:c>
      <x:c r="L26" s="20" t="n">
        <x:v>0.00002838624213469254</x:v>
      </x:c>
      <x:c r="M26" s="12" t="str">
        <x:v>prior</x:v>
      </x:c>
      <x:c r="N26" s="8" t="str">
        <x:v>Entrenamiento</x:v>
      </x:c>
      <x:c r="O26" s="8" t="str">
        <x:v>metadata_empirical_prior_v1</x:v>
      </x:c>
    </x:row>
    <x:row r="27" ht="23" customHeight="1">
      <x:c r="A27" s="2" t="str">
        <x:v>Prior empírico de train</x:v>
      </x:c>
      <x:c r="B27" s="2" t="str">
        <x:v>Binaria</x:v>
      </x:c>
      <x:c r="C27" s="17" t="n">
        <x:v>456</x:v>
      </x:c>
      <x:c r="D27" s="18" t="n">
        <x:v>0.5</x:v>
      </x:c>
      <x:c r="E27" s="18" t="n">
        <x:v>0.5260869565217391</x:v>
      </x:c>
      <x:c r="F27" s="18" t="n">
        <x:v>0.5</x:v>
      </x:c>
      <x:c r="G27" s="18" t="n">
        <x:v>0</x:v>
      </x:c>
      <x:c r="H27" s="18" t="n">
        <x:v>0</x:v>
      </x:c>
      <x:c r="I27" s="18" t="n">
        <x:v>0</x:v>
      </x:c>
      <x:c r="J27" s="18" t="n">
        <x:v>0.47391304347826085</x:v>
      </x:c>
      <x:c r="K27" s="18" t="n">
        <x:v>0.24931947150521164</x:v>
      </x:c>
      <x:c r="L27" s="18" t="n">
        <x:v>0.00002838624213469254</x:v>
      </x:c>
      <x:c r="M27" s="11" t="str">
        <x:v>prior</x:v>
      </x:c>
      <x:c r="N27" s="2" t="str">
        <x:v>Entrenamiento</x:v>
      </x:c>
      <x:c r="O27" s="2" t="str">
        <x:v>metadata_empirical_prior_v1</x:v>
      </x:c>
    </x:row>
    <x:row r="28" ht="23" customHeight="1">
      <x:c r="A28" s="8" t="str">
        <x:v>Prior empírico de train</x:v>
      </x:c>
      <x:c r="B28" s="8" t="str">
        <x:v>Binaria</x:v>
      </x:c>
      <x:c r="C28" s="19" t="n">
        <x:v>789</x:v>
      </x:c>
      <x:c r="D28" s="20" t="n">
        <x:v>0.5</x:v>
      </x:c>
      <x:c r="E28" s="20" t="n">
        <x:v>0.5304347826086957</x:v>
      </x:c>
      <x:c r="F28" s="20" t="n">
        <x:v>0.5</x:v>
      </x:c>
      <x:c r="G28" s="20" t="n">
        <x:v>0</x:v>
      </x:c>
      <x:c r="H28" s="20" t="n">
        <x:v>0</x:v>
      </x:c>
      <x:c r="I28" s="20" t="n">
        <x:v>0</x:v>
      </x:c>
      <x:c r="J28" s="20" t="n">
        <x:v>0.46956521739130436</x:v>
      </x:c>
      <x:c r="K28" s="20" t="n">
        <x:v>0.2491029659195724</x:v>
      </x:c>
      <x:c r="L28" s="20" t="n">
        <x:v>0.005407579126649853</x:v>
      </x:c>
      <x:c r="M28" s="12" t="str">
        <x:v>prior</x:v>
      </x:c>
      <x:c r="N28" s="8" t="str">
        <x:v>Entrenamiento</x:v>
      </x:c>
      <x:c r="O28" s="8" t="str">
        <x:v>metadata_empirical_prior_v1</x:v>
      </x:c>
    </x:row>
    <x:row r="29" ht="23" customHeight="1">
      <x:c r="A29" s="2" t="str">
        <x:v>Prior empírico de train</x:v>
      </x:c>
      <x:c r="B29" s="2" t="str">
        <x:v>Binaria</x:v>
      </x:c>
      <x:c r="C29" s="17" t="n">
        <x:v>2024</x:v>
      </x:c>
      <x:c r="D29" s="18" t="n">
        <x:v>0.5</x:v>
      </x:c>
      <x:c r="E29" s="18" t="n">
        <x:v>0.5260869565217391</x:v>
      </x:c>
      <x:c r="F29" s="18" t="n">
        <x:v>0.5</x:v>
      </x:c>
      <x:c r="G29" s="18" t="n">
        <x:v>0</x:v>
      </x:c>
      <x:c r="H29" s="18" t="n">
        <x:v>0</x:v>
      </x:c>
      <x:c r="I29" s="18" t="n">
        <x:v>0</x:v>
      </x:c>
      <x:c r="J29" s="18" t="n">
        <x:v>0.47391304347826085</x:v>
      </x:c>
      <x:c r="K29" s="18" t="n">
        <x:v>0.2493194715052117</x:v>
      </x:c>
      <x:c r="L29" s="18" t="n">
        <x:v>0.00002838624213469254</x:v>
      </x:c>
      <x:c r="M29" s="11" t="str">
        <x:v>prior</x:v>
      </x:c>
      <x:c r="N29" s="2" t="str">
        <x:v>Entrenamiento</x:v>
      </x:c>
      <x:c r="O29" s="2" t="str">
        <x:v>metadata_empirical_prior_v1</x:v>
      </x:c>
    </x:row>
    <x:row r="30" ht="23" customHeight="1">
      <x:c r="A30" s="8" t="str">
        <x:v>Prior ponderado en multiclase</x:v>
      </x:c>
      <x:c r="B30" s="8" t="str">
        <x:v>Binaria</x:v>
      </x:c>
      <x:c r="C30" s="19" t="n">
        <x:v>42</x:v>
      </x:c>
      <x:c r="D30" s="20" t="n">
        <x:v>0.5</x:v>
      </x:c>
      <x:c r="E30" s="20" t="n">
        <x:v>0.5304347826086957</x:v>
      </x:c>
      <x:c r="F30" s="20" t="n">
        <x:v>0.5</x:v>
      </x:c>
      <x:c r="G30" s="20" t="n">
        <x:v>0</x:v>
      </x:c>
      <x:c r="H30" s="20" t="n">
        <x:v>0</x:v>
      </x:c>
      <x:c r="I30" s="20" t="n">
        <x:v>0</x:v>
      </x:c>
      <x:c r="J30" s="20" t="n">
        <x:v>0.46956521739130436</x:v>
      </x:c>
      <x:c r="K30" s="20" t="n">
        <x:v>0.24909737773207932</x:v>
      </x:c>
      <x:c r="L30" s="20" t="n">
        <x:v>0.004863509485735773</x:v>
      </x:c>
      <x:c r="M30" s="12" t="str">
        <x:v>prior</x:v>
      </x:c>
      <x:c r="N30" s="8" t="str">
        <x:v>Entrenamiento</x:v>
      </x:c>
      <x:c r="O30" s="8" t="str">
        <x:v>thesis_completion_v1</x:v>
      </x:c>
    </x:row>
    <x:row r="31" ht="23" customHeight="1">
      <x:c r="A31" s="2" t="str">
        <x:v>Prior ponderado en multiclase</x:v>
      </x:c>
      <x:c r="B31" s="2" t="str">
        <x:v>Binaria</x:v>
      </x:c>
      <x:c r="C31" s="17" t="n">
        <x:v>123</x:v>
      </x:c>
      <x:c r="D31" s="18" t="n">
        <x:v>0.5</x:v>
      </x:c>
      <x:c r="E31" s="18" t="n">
        <x:v>0.5260869565217391</x:v>
      </x:c>
      <x:c r="F31" s="18" t="n">
        <x:v>0.5</x:v>
      </x:c>
      <x:c r="G31" s="18" t="n">
        <x:v>0</x:v>
      </x:c>
      <x:c r="H31" s="18" t="n">
        <x:v>0</x:v>
      </x:c>
      <x:c r="I31" s="18" t="n">
        <x:v>0</x:v>
      </x:c>
      <x:c r="J31" s="18" t="n">
        <x:v>0.47391304347826085</x:v>
      </x:c>
      <x:c r="K31" s="18" t="n">
        <x:v>0.2493194715052117</x:v>
      </x:c>
      <x:c r="L31" s="18" t="n">
        <x:v>0.00002838624213469254</x:v>
      </x:c>
      <x:c r="M31" s="11" t="str">
        <x:v>prior</x:v>
      </x:c>
      <x:c r="N31" s="2" t="str">
        <x:v>Entrenamiento</x:v>
      </x:c>
      <x:c r="O31" s="2" t="str">
        <x:v>thesis_completion_v1</x:v>
      </x:c>
    </x:row>
    <x:row r="32" ht="23" customHeight="1">
      <x:c r="A32" s="8" t="str">
        <x:v>Prior ponderado en multiclase</x:v>
      </x:c>
      <x:c r="B32" s="8" t="str">
        <x:v>Binaria</x:v>
      </x:c>
      <x:c r="C32" s="19" t="n">
        <x:v>456</x:v>
      </x:c>
      <x:c r="D32" s="20" t="n">
        <x:v>0.5</x:v>
      </x:c>
      <x:c r="E32" s="20" t="n">
        <x:v>0.5260869565217391</x:v>
      </x:c>
      <x:c r="F32" s="20" t="n">
        <x:v>0.5</x:v>
      </x:c>
      <x:c r="G32" s="20" t="n">
        <x:v>0</x:v>
      </x:c>
      <x:c r="H32" s="20" t="n">
        <x:v>0</x:v>
      </x:c>
      <x:c r="I32" s="20" t="n">
        <x:v>0</x:v>
      </x:c>
      <x:c r="J32" s="20" t="n">
        <x:v>0.47391304347826085</x:v>
      </x:c>
      <x:c r="K32" s="20" t="n">
        <x:v>0.24931947150521164</x:v>
      </x:c>
      <x:c r="L32" s="20" t="n">
        <x:v>0.00002838624213469254</x:v>
      </x:c>
      <x:c r="M32" s="12" t="str">
        <x:v>prior</x:v>
      </x:c>
      <x:c r="N32" s="8" t="str">
        <x:v>Entrenamiento</x:v>
      </x:c>
      <x:c r="O32" s="8" t="str">
        <x:v>thesis_completion_v1</x:v>
      </x:c>
    </x:row>
    <x:row r="33" ht="23" customHeight="1">
      <x:c r="A33" s="2" t="str">
        <x:v>Prior ponderado en multiclase</x:v>
      </x:c>
      <x:c r="B33" s="2" t="str">
        <x:v>Binaria</x:v>
      </x:c>
      <x:c r="C33" s="17" t="n">
        <x:v>789</x:v>
      </x:c>
      <x:c r="D33" s="18" t="n">
        <x:v>0.5</x:v>
      </x:c>
      <x:c r="E33" s="18" t="n">
        <x:v>0.5304347826086957</x:v>
      </x:c>
      <x:c r="F33" s="18" t="n">
        <x:v>0.5</x:v>
      </x:c>
      <x:c r="G33" s="18" t="n">
        <x:v>0</x:v>
      </x:c>
      <x:c r="H33" s="18" t="n">
        <x:v>0</x:v>
      </x:c>
      <x:c r="I33" s="18" t="n">
        <x:v>0</x:v>
      </x:c>
      <x:c r="J33" s="18" t="n">
        <x:v>0.46956521739130436</x:v>
      </x:c>
      <x:c r="K33" s="18" t="n">
        <x:v>0.2491029659195724</x:v>
      </x:c>
      <x:c r="L33" s="18" t="n">
        <x:v>0.005407579126649853</x:v>
      </x:c>
      <x:c r="M33" s="11" t="str">
        <x:v>prior</x:v>
      </x:c>
      <x:c r="N33" s="2" t="str">
        <x:v>Entrenamiento</x:v>
      </x:c>
      <x:c r="O33" s="2" t="str">
        <x:v>thesis_completion_v1</x:v>
      </x:c>
    </x:row>
    <x:row r="34" ht="23" customHeight="1">
      <x:c r="A34" s="8" t="str">
        <x:v>Prior ponderado en multiclase</x:v>
      </x:c>
      <x:c r="B34" s="8" t="str">
        <x:v>Binaria</x:v>
      </x:c>
      <x:c r="C34" s="19" t="n">
        <x:v>2024</x:v>
      </x:c>
      <x:c r="D34" s="20" t="n">
        <x:v>0.5</x:v>
      </x:c>
      <x:c r="E34" s="20" t="n">
        <x:v>0.5260869565217391</x:v>
      </x:c>
      <x:c r="F34" s="20" t="n">
        <x:v>0.5</x:v>
      </x:c>
      <x:c r="G34" s="20" t="n">
        <x:v>0</x:v>
      </x:c>
      <x:c r="H34" s="20" t="n">
        <x:v>0</x:v>
      </x:c>
      <x:c r="I34" s="20" t="n">
        <x:v>0</x:v>
      </x:c>
      <x:c r="J34" s="20" t="n">
        <x:v>0.47391304347826085</x:v>
      </x:c>
      <x:c r="K34" s="20" t="n">
        <x:v>0.2493194715052117</x:v>
      </x:c>
      <x:c r="L34" s="20" t="n">
        <x:v>0.00002838624213469254</x:v>
      </x:c>
      <x:c r="M34" s="12" t="str">
        <x:v>prior</x:v>
      </x:c>
      <x:c r="N34" s="8" t="str">
        <x:v>Entrenamiento</x:v>
      </x:c>
      <x:c r="O34" s="8" t="str">
        <x:v>thesis_completion_v1</x:v>
      </x:c>
    </x:row>
    <x:row r="35" ht="23" customHeight="1">
      <x:c r="A35" s="2" t="str">
        <x:v>CLIP</x:v>
      </x:c>
      <x:c r="B35" s="2" t="str">
        <x:v>Binaria</x:v>
      </x:c>
      <x:c r="C35" s="17" t="n">
        <x:v>42</x:v>
      </x:c>
      <x:c r="D35" s="18" t="n">
        <x:v>0.8733302975106253</x:v>
      </x:c>
      <x:c r="E35" s="18" t="n">
        <x:v>0.8</x:v>
      </x:c>
      <x:c r="F35" s="18" t="n">
        <x:v>0.8024438372799028</x:v>
      </x:c>
      <x:c r="G35" s="18" t="n">
        <x:v>0.8425925925925926</x:v>
      </x:c>
      <x:c r="H35" s="18" t="n">
        <x:v>0.7982456140350878</x:v>
      </x:c>
      <x:c r="I35" s="18" t="n">
        <x:v>0.7583333333333333</x:v>
      </x:c>
      <x:c r="J35" s="18" t="n">
        <x:v>0.8564968368911556</x:v>
      </x:c>
      <x:c r="K35" s="18" t="n">
        <x:v>0.15321488542720293</x:v>
      </x:c>
      <x:c r="L35" s="18" t="n">
        <x:v>0.10041316720260866</x:v>
      </x:c>
      <x:c r="M35" s="11" t="str">
        <x:v>bce</x:v>
      </x:c>
      <x:c r="N35" s="2" t="str">
        <x:v>Entrenamiento</x:v>
      </x:c>
      <x:c r="O35" s="2" t="str">
        <x:v>paper_baseline_v1</x:v>
      </x:c>
    </x:row>
    <x:row r="36" ht="23" customHeight="1">
      <x:c r="A36" s="8" t="str">
        <x:v>CLIP</x:v>
      </x:c>
      <x:c r="B36" s="8" t="str">
        <x:v>Binaria</x:v>
      </x:c>
      <x:c r="C36" s="19" t="n">
        <x:v>123</x:v>
      </x:c>
      <x:c r="D36" s="20" t="n">
        <x:v>0.902418682235196</x:v>
      </x:c>
      <x:c r="E36" s="20" t="n">
        <x:v>0.8304347826086956</x:v>
      </x:c>
      <x:c r="F36" s="20" t="n">
        <x:v>0.8342937296231708</x:v>
      </x:c>
      <x:c r="G36" s="20" t="n">
        <x:v>0.908256880733945</x:v>
      </x:c>
      <x:c r="H36" s="20" t="n">
        <x:v>0.8354430379746836</x:v>
      </x:c>
      <x:c r="I36" s="20" t="n">
        <x:v>0.7734375</x:v>
      </x:c>
      <x:c r="J36" s="20" t="n">
        <x:v>0.864848141615042</x:v>
      </x:c>
      <x:c r="K36" s="20" t="n">
        <x:v>0.12893283017506307</x:v>
      </x:c>
      <x:c r="L36" s="20" t="n">
        <x:v>0.08444822349782616</x:v>
      </x:c>
      <x:c r="M36" s="12" t="str">
        <x:v>bce</x:v>
      </x:c>
      <x:c r="N36" s="8" t="str">
        <x:v>Entrenamiento</x:v>
      </x:c>
      <x:c r="O36" s="8" t="str">
        <x:v>paper_baseline_v1</x:v>
      </x:c>
    </x:row>
    <x:row r="37" ht="23" customHeight="1">
      <x:c r="A37" s="2" t="str">
        <x:v>CLIP</x:v>
      </x:c>
      <x:c r="B37" s="2" t="str">
        <x:v>Binaria</x:v>
      </x:c>
      <x:c r="C37" s="17" t="n">
        <x:v>456</x:v>
      </x:c>
      <x:c r="D37" s="18" t="n">
        <x:v>0.9197816362119948</x:v>
      </x:c>
      <x:c r="E37" s="18" t="n">
        <x:v>0.8391304347826087</x:v>
      </x:c>
      <x:c r="F37" s="18" t="n">
        <x:v>0.8375540222913034</x:v>
      </x:c>
      <x:c r="G37" s="18" t="n">
        <x:v>0.8073394495412844</x:v>
      </x:c>
      <x:c r="H37" s="18" t="n">
        <x:v>0.8262910798122066</x:v>
      </x:c>
      <x:c r="I37" s="18" t="n">
        <x:v>0.8461538461538461</x:v>
      </x:c>
      <x:c r="J37" s="18" t="n">
        <x:v>0.8947508246159785</x:v>
      </x:c>
      <x:c r="K37" s="18" t="n">
        <x:v>0.11251399806962381</x:v>
      </x:c>
      <x:c r="L37" s="18" t="n">
        <x:v>0.0587467693947826</x:v>
      </x:c>
      <x:c r="M37" s="11" t="str">
        <x:v>bce</x:v>
      </x:c>
      <x:c r="N37" s="2" t="str">
        <x:v>Entrenamiento</x:v>
      </x:c>
      <x:c r="O37" s="2" t="str">
        <x:v>paper_baseline_v1</x:v>
      </x:c>
    </x:row>
    <x:row r="38" ht="23" customHeight="1">
      <x:c r="A38" s="8" t="str">
        <x:v>CLIP</x:v>
      </x:c>
      <x:c r="B38" s="8" t="str">
        <x:v>Binaria</x:v>
      </x:c>
      <x:c r="C38" s="19" t="n">
        <x:v>789</x:v>
      </x:c>
      <x:c r="D38" s="20" t="n">
        <x:v>0.889078627808136</x:v>
      </x:c>
      <x:c r="E38" s="20" t="n">
        <x:v>0.8260869565217391</x:v>
      </x:c>
      <x:c r="F38" s="20" t="n">
        <x:v>0.8270340012143291</x:v>
      </x:c>
      <x:c r="G38" s="20" t="n">
        <x:v>0.8425925925925926</x:v>
      </x:c>
      <x:c r="H38" s="20" t="n">
        <x:v>0.8198198198198198</x:v>
      </x:c>
      <x:c r="I38" s="20" t="n">
        <x:v>0.7982456140350878</x:v>
      </x:c>
      <x:c r="J38" s="20" t="n">
        <x:v>0.8559054401042656</x:v>
      </x:c>
      <x:c r="K38" s="20" t="n">
        <x:v>0.1342457825178607</x:v>
      </x:c>
      <x:c r="L38" s="20" t="n">
        <x:v>0.07879268416739131</x:v>
      </x:c>
      <x:c r="M38" s="12" t="str">
        <x:v>bce</x:v>
      </x:c>
      <x:c r="N38" s="8" t="str">
        <x:v>Entrenamiento</x:v>
      </x:c>
      <x:c r="O38" s="8" t="str">
        <x:v>paper_baseline_v1</x:v>
      </x:c>
    </x:row>
    <x:row r="39" ht="23" customHeight="1">
      <x:c r="A39" s="2" t="str">
        <x:v>CLIP</x:v>
      </x:c>
      <x:c r="B39" s="2" t="str">
        <x:v>Binaria</x:v>
      </x:c>
      <x:c r="C39" s="17" t="n">
        <x:v>2024</x:v>
      </x:c>
      <x:c r="D39" s="18" t="n">
        <x:v>0.92668132534688</x:v>
      </x:c>
      <x:c r="E39" s="18" t="n">
        <x:v>0.8391304347826087</x:v>
      </x:c>
      <x:c r="F39" s="18" t="n">
        <x:v>0.8402835696413679</x:v>
      </x:c>
      <x:c r="G39" s="18" t="n">
        <x:v>0.8623853211009175</x:v>
      </x:c>
      <x:c r="H39" s="18" t="n">
        <x:v>0.8355555555555556</x:v>
      </x:c>
      <x:c r="I39" s="18" t="n">
        <x:v>0.8103448275862069</x:v>
      </x:c>
      <x:c r="J39" s="18" t="n">
        <x:v>0.8985699329254038</x:v>
      </x:c>
      <x:c r="K39" s="18" t="n">
        <x:v>0.10793139544042413</x:v>
      </x:c>
      <x:c r="L39" s="18" t="n">
        <x:v>0.05422580093243475</x:v>
      </x:c>
      <x:c r="M39" s="11" t="str">
        <x:v>bce</x:v>
      </x:c>
      <x:c r="N39" s="2" t="str">
        <x:v>Entrenamiento</x:v>
      </x:c>
      <x:c r="O39" s="2" t="str">
        <x:v>paper_baseline_v1</x:v>
      </x:c>
    </x:row>
    <x:row r="40" ht="23" customHeight="1">
      <x:c r="A40" s="8" t="str">
        <x:v>DINOv2</x:v>
      </x:c>
      <x:c r="B40" s="8" t="str">
        <x:v>Binaria</x:v>
      </x:c>
      <x:c r="C40" s="19" t="n">
        <x:v>42</x:v>
      </x:c>
      <x:c r="D40" s="20" t="n">
        <x:v>0.8743169398907104</x:v>
      </x:c>
      <x:c r="E40" s="20" t="n">
        <x:v>0.7956521739130434</x:v>
      </x:c>
      <x:c r="F40" s="20" t="n">
        <x:v>0.7962204007285975</x:v>
      </x:c>
      <x:c r="G40" s="20" t="n">
        <x:v>0.8055555555555556</x:v>
      </x:c>
      <x:c r="H40" s="20" t="n">
        <x:v>0.7873303167420814</x:v>
      </x:c>
      <x:c r="I40" s="20" t="n">
        <x:v>0.7699115044247787</x:v>
      </x:c>
      <x:c r="J40" s="20" t="n">
        <x:v>0.8726245180471516</x:v>
      </x:c>
      <x:c r="K40" s="20" t="n">
        <x:v>0.15109011987116008</x:v>
      </x:c>
      <x:c r="L40" s="20" t="n">
        <x:v>0.11259556773510872</x:v>
      </x:c>
      <x:c r="M40" s="12" t="str">
        <x:v>bce</x:v>
      </x:c>
      <x:c r="N40" s="8" t="str">
        <x:v>Entrenamiento</x:v>
      </x:c>
      <x:c r="O40" s="8" t="str">
        <x:v>paper_baseline_v1</x:v>
      </x:c>
    </x:row>
    <x:row r="41" ht="23" customHeight="1">
      <x:c r="A41" s="2" t="str">
        <x:v>DINOv2</x:v>
      </x:c>
      <x:c r="B41" s="2" t="str">
        <x:v>Binaria</x:v>
      </x:c>
      <x:c r="C41" s="17" t="n">
        <x:v>123</x:v>
      </x:c>
      <x:c r="D41" s="18" t="n">
        <x:v>0.8902873606793541</x:v>
      </x:c>
      <x:c r="E41" s="18" t="n">
        <x:v>0.782608695652174</x:v>
      </x:c>
      <x:c r="F41" s="18" t="n">
        <x:v>0.7824702403518083</x:v>
      </x:c>
      <x:c r="G41" s="18" t="n">
        <x:v>0.7798165137614679</x:v>
      </x:c>
      <x:c r="H41" s="18" t="n">
        <x:v>0.7727272727272727</x:v>
      </x:c>
      <x:c r="I41" s="18" t="n">
        <x:v>0.7657657657657657</x:v>
      </x:c>
      <x:c r="J41" s="18" t="n">
        <x:v>0.8439872939272386</x:v>
      </x:c>
      <x:c r="K41" s="18" t="n">
        <x:v>0.14709947201132859</x:v>
      </x:c>
      <x:c r="L41" s="18" t="n">
        <x:v>0.11080406652365218</x:v>
      </x:c>
      <x:c r="M41" s="11" t="str">
        <x:v>bce</x:v>
      </x:c>
      <x:c r="N41" s="2" t="str">
        <x:v>Entrenamiento</x:v>
      </x:c>
      <x:c r="O41" s="2" t="str">
        <x:v>paper_baseline_v1</x:v>
      </x:c>
    </x:row>
    <x:row r="42" ht="23" customHeight="1">
      <x:c r="A42" s="8" t="str">
        <x:v>DINOv2</x:v>
      </x:c>
      <x:c r="B42" s="8" t="str">
        <x:v>Binaria</x:v>
      </x:c>
      <x:c r="C42" s="19" t="n">
        <x:v>456</x:v>
      </x:c>
      <x:c r="D42" s="20" t="n">
        <x:v>0.8999924179240277</x:v>
      </x:c>
      <x:c r="E42" s="20" t="n">
        <x:v>0.8</x:v>
      </x:c>
      <x:c r="F42" s="20" t="n">
        <x:v>0.8058230343468042</x:v>
      </x:c>
      <x:c r="G42" s="20" t="n">
        <x:v>0.9174311926605505</x:v>
      </x:c>
      <x:c r="H42" s="20" t="n">
        <x:v>0.8130081300813008</x:v>
      </x:c>
      <x:c r="I42" s="20" t="n">
        <x:v>0.7299270072992701</x:v>
      </x:c>
      <x:c r="J42" s="20" t="n">
        <x:v>0.8819254520064804</x:v>
      </x:c>
      <x:c r="K42" s="20" t="n">
        <x:v>0.146312323313851</x:v>
      </x:c>
      <x:c r="L42" s="20" t="n">
        <x:v>0.11691637533260864</x:v>
      </x:c>
      <x:c r="M42" s="12" t="str">
        <x:v>bce</x:v>
      </x:c>
      <x:c r="N42" s="8" t="str">
        <x:v>Entrenamiento</x:v>
      </x:c>
      <x:c r="O42" s="8" t="str">
        <x:v>paper_baseline_v1</x:v>
      </x:c>
    </x:row>
    <x:row r="43" ht="23" customHeight="1">
      <x:c r="A43" s="2" t="str">
        <x:v>DINOv2</x:v>
      </x:c>
      <x:c r="B43" s="2" t="str">
        <x:v>Binaria</x:v>
      </x:c>
      <x:c r="C43" s="17" t="n">
        <x:v>789</x:v>
      </x:c>
      <x:c r="D43" s="18" t="n">
        <x:v>0.8473360655737705</x:v>
      </x:c>
      <x:c r="E43" s="18" t="n">
        <x:v>0.7739130434782608</x:v>
      </x:c>
      <x:c r="F43" s="18" t="n">
        <x:v>0.7767911353976928</x:v>
      </x:c>
      <x:c r="G43" s="18" t="n">
        <x:v>0.8240740740740741</x:v>
      </x:c>
      <x:c r="H43" s="18" t="n">
        <x:v>0.7739130434782608</x:v>
      </x:c>
      <x:c r="I43" s="18" t="n">
        <x:v>0.7295081967213115</x:v>
      </x:c>
      <x:c r="J43" s="18" t="n">
        <x:v>0.7945152524304245</x:v>
      </x:c>
      <x:c r="K43" s="18" t="n">
        <x:v>0.16974397675592562</x:v>
      </x:c>
      <x:c r="L43" s="18" t="n">
        <x:v>0.10458754746049992</x:v>
      </x:c>
      <x:c r="M43" s="11" t="str">
        <x:v>bce</x:v>
      </x:c>
      <x:c r="N43" s="2" t="str">
        <x:v>Entrenamiento</x:v>
      </x:c>
      <x:c r="O43" s="2" t="str">
        <x:v>paper_baseline_v1</x:v>
      </x:c>
    </x:row>
    <x:row r="44" ht="23" customHeight="1">
      <x:c r="A44" s="8" t="str">
        <x:v>DINOv2</x:v>
      </x:c>
      <x:c r="B44" s="8" t="str">
        <x:v>Binaria</x:v>
      </x:c>
      <x:c r="C44" s="19" t="n">
        <x:v>2024</x:v>
      </x:c>
      <x:c r="D44" s="20" t="n">
        <x:v>0.8968837667753431</x:v>
      </x:c>
      <x:c r="E44" s="20" t="n">
        <x:v>0.8</x:v>
      </x:c>
      <x:c r="F44" s="20" t="n">
        <x:v>0.7989991659716431</x:v>
      </x:c>
      <x:c r="G44" s="20" t="n">
        <x:v>0.7798165137614679</x:v>
      </x:c>
      <x:c r="H44" s="20" t="n">
        <x:v>0.7870370370370371</x:v>
      </x:c>
      <x:c r="I44" s="20" t="n">
        <x:v>0.794392523364486</x:v>
      </x:c>
      <x:c r="J44" s="20" t="n">
        <x:v>0.8936457127081674</x:v>
      </x:c>
      <x:c r="K44" s="20" t="n">
        <x:v>0.1326772458037378</x:v>
      </x:c>
      <x:c r="L44" s="20" t="n">
        <x:v>0.08649818374028262</x:v>
      </x:c>
      <x:c r="M44" s="12" t="str">
        <x:v>bce</x:v>
      </x:c>
      <x:c r="N44" s="8" t="str">
        <x:v>Entrenamiento</x:v>
      </x:c>
      <x:c r="O44" s="8" t="str">
        <x:v>paper_baseline_v1</x:v>
      </x:c>
    </x:row>
    <x:row r="45" ht="23" customHeight="1">
      <x:c r="A45" s="2" t="str">
        <x:v>ConvNeXt</x:v>
      </x:c>
      <x:c r="B45" s="2" t="str">
        <x:v>Binaria</x:v>
      </x:c>
      <x:c r="C45" s="17" t="n">
        <x:v>42</x:v>
      </x:c>
      <x:c r="D45" s="18" t="n">
        <x:v>0.8617941712204007</x:v>
      </x:c>
      <x:c r="E45" s="18" t="n">
        <x:v>0.8130434782608695</x:v>
      </x:c>
      <x:c r="F45" s="18" t="n">
        <x:v>0.8120825743776563</x:v>
      </x:c>
      <x:c r="G45" s="18" t="n">
        <x:v>0.7962962962962963</x:v>
      </x:c>
      <x:c r="H45" s="18" t="n">
        <x:v>0.8</x:v>
      </x:c>
      <x:c r="I45" s="18" t="n">
        <x:v>0.8037383177570093</x:v>
      </x:c>
      <x:c r="J45" s="18" t="n">
        <x:v>0.8329778678398447</x:v>
      </x:c>
      <x:c r="K45" s="18" t="n">
        <x:v>0.1525008723767835</x:v>
      </x:c>
      <x:c r="L45" s="18" t="n">
        <x:v>0.09521324388905045</x:v>
      </x:c>
      <x:c r="M45" s="11" t="str">
        <x:v>bce</x:v>
      </x:c>
      <x:c r="N45" s="2" t="str">
        <x:v>Entrenamiento</x:v>
      </x:c>
      <x:c r="O45" s="2" t="str">
        <x:v>paper_baseline_v1</x:v>
      </x:c>
    </x:row>
    <x:row r="46" ht="23" customHeight="1">
      <x:c r="A46" s="8" t="str">
        <x:v>ConvNeXt</x:v>
      </x:c>
      <x:c r="B46" s="8" t="str">
        <x:v>Binaria</x:v>
      </x:c>
      <x:c r="C46" s="19" t="n">
        <x:v>123</x:v>
      </x:c>
      <x:c r="D46" s="20" t="n">
        <x:v>0.847221169156115</x:v>
      </x:c>
      <x:c r="E46" s="20" t="n">
        <x:v>0.7434782608695653</x:v>
      </x:c>
      <x:c r="F46" s="20" t="n">
        <x:v>0.7470998559405565</x:v>
      </x:c>
      <x:c r="G46" s="20" t="n">
        <x:v>0.8165137614678899</x:v>
      </x:c>
      <x:c r="H46" s="20" t="n">
        <x:v>0.7510548523206751</x:v>
      </x:c>
      <x:c r="I46" s="20" t="n">
        <x:v>0.6953125</x:v>
      </x:c>
      <x:c r="J46" s="20" t="n">
        <x:v>0.8084366537635017</x:v>
      </x:c>
      <x:c r="K46" s="20" t="n">
        <x:v>0.16638393012451955</x:v>
      </x:c>
      <x:c r="L46" s="20" t="n">
        <x:v>0.09016053637221741</x:v>
      </x:c>
      <x:c r="M46" s="12" t="str">
        <x:v>bce</x:v>
      </x:c>
      <x:c r="N46" s="8" t="str">
        <x:v>Entrenamiento</x:v>
      </x:c>
      <x:c r="O46" s="8" t="str">
        <x:v>paper_baseline_v1</x:v>
      </x:c>
    </x:row>
    <x:row r="47" ht="23" customHeight="1">
      <x:c r="A47" s="2" t="str">
        <x:v>ConvNeXt</x:v>
      </x:c>
      <x:c r="B47" s="2" t="str">
        <x:v>Binaria</x:v>
      </x:c>
      <x:c r="C47" s="17" t="n">
        <x:v>456</x:v>
      </x:c>
      <x:c r="D47" s="18" t="n">
        <x:v>0.8734551520206233</x:v>
      </x:c>
      <x:c r="E47" s="18" t="n">
        <x:v>0.8173913043478261</x:v>
      </x:c>
      <x:c r="F47" s="18" t="n">
        <x:v>0.8205322617332627</x:v>
      </x:c>
      <x:c r="G47" s="18" t="n">
        <x:v>0.8807339449541285</x:v>
      </x:c>
      <x:c r="H47" s="18" t="n">
        <x:v>0.8205128205128205</x:v>
      </x:c>
      <x:c r="I47" s="18" t="n">
        <x:v>0.768</x:v>
      </x:c>
      <x:c r="J47" s="18" t="n">
        <x:v>0.829981589269337</x:v>
      </x:c>
      <x:c r="K47" s="18" t="n">
        <x:v>0.14668507296906372</x:v>
      </x:c>
      <x:c r="L47" s="18" t="n">
        <x:v>0.08546861530022168</x:v>
      </x:c>
      <x:c r="M47" s="11" t="str">
        <x:v>bce</x:v>
      </x:c>
      <x:c r="N47" s="2" t="str">
        <x:v>Entrenamiento</x:v>
      </x:c>
      <x:c r="O47" s="2" t="str">
        <x:v>paper_baseline_v1</x:v>
      </x:c>
    </x:row>
    <x:row r="48" ht="23" customHeight="1">
      <x:c r="A48" s="8" t="str">
        <x:v>ConvNeXt</x:v>
      </x:c>
      <x:c r="B48" s="8" t="str">
        <x:v>Binaria</x:v>
      </x:c>
      <x:c r="C48" s="19" t="n">
        <x:v>789</x:v>
      </x:c>
      <x:c r="D48" s="20" t="n">
        <x:v>0.8493093503339405</x:v>
      </x:c>
      <x:c r="E48" s="20" t="n">
        <x:v>0.7434782608695653</x:v>
      </x:c>
      <x:c r="F48" s="20" t="n">
        <x:v>0.7518214936247722</x:v>
      </x:c>
      <x:c r="G48" s="20" t="n">
        <x:v>0.8888888888888888</x:v>
      </x:c>
      <x:c r="H48" s="20" t="n">
        <x:v>0.7649402390438247</x:v>
      </x:c>
      <x:c r="I48" s="20" t="n">
        <x:v>0.6713286713286714</x:v>
      </x:c>
      <x:c r="J48" s="20" t="n">
        <x:v>0.7991514104449393</x:v>
      </x:c>
      <x:c r="K48" s="20" t="n">
        <x:v>0.17456661340337454</x:v>
      </x:c>
      <x:c r="L48" s="20" t="n">
        <x:v>0.11073967074391312</x:v>
      </x:c>
      <x:c r="M48" s="12" t="str">
        <x:v>bce</x:v>
      </x:c>
      <x:c r="N48" s="8" t="str">
        <x:v>Entrenamiento</x:v>
      </x:c>
      <x:c r="O48" s="8" t="str">
        <x:v>paper_baseline_v1</x:v>
      </x:c>
    </x:row>
    <x:row r="49" ht="23" customHeight="1">
      <x:c r="A49" s="2" t="str">
        <x:v>ConvNeXt</x:v>
      </x:c>
      <x:c r="B49" s="2" t="str">
        <x:v>Binaria</x:v>
      </x:c>
      <x:c r="C49" s="17" t="n">
        <x:v>2024</x:v>
      </x:c>
      <x:c r="D49" s="18" t="n">
        <x:v>0.8991583895670635</x:v>
      </x:c>
      <x:c r="E49" s="18" t="n">
        <x:v>0.8347826086956521</x:v>
      </x:c>
      <x:c r="F49" s="18" t="n">
        <x:v>0.8334217908863447</x:v>
      </x:c>
      <x:c r="G49" s="18" t="n">
        <x:v>0.8073394495412844</x:v>
      </x:c>
      <x:c r="H49" s="18" t="n">
        <x:v>0.822429906542056</x:v>
      </x:c>
      <x:c r="I49" s="18" t="n">
        <x:v>0.8380952380952381</x:v>
      </x:c>
      <x:c r="J49" s="18" t="n">
        <x:v>0.8866117081235764</x:v>
      </x:c>
      <x:c r="K49" s="18" t="n">
        <x:v>0.13160380568509633</x:v>
      </x:c>
      <x:c r="L49" s="18" t="n">
        <x:v>0.08765202553728696</x:v>
      </x:c>
      <x:c r="M49" s="11" t="str">
        <x:v>bce</x:v>
      </x:c>
      <x:c r="N49" s="2" t="str">
        <x:v>Entrenamiento</x:v>
      </x:c>
      <x:c r="O49" s="2" t="str">
        <x:v>paper_baseline_v1</x:v>
      </x:c>
    </x:row>
    <x:row r="50" ht="23" customHeight="1">
      <x:c r="A50" s="8" t="str">
        <x:v>CLIP + DINOv2</x:v>
      </x:c>
      <x:c r="B50" s="8" t="str">
        <x:v>Binaria</x:v>
      </x:c>
      <x:c r="C50" s="19" t="n">
        <x:v>42</x:v>
      </x:c>
      <x:c r="D50" s="20" t="n">
        <x:v>0.8819064966605951</x:v>
      </x:c>
      <x:c r="E50" s="20" t="n">
        <x:v>0.7869565217391304</x:v>
      </x:c>
      <x:c r="F50" s="20" t="n">
        <x:v>0.7821797207043109</x:v>
      </x:c>
      <x:c r="G50" s="20" t="n">
        <x:v>0.7037037037037037</x:v>
      </x:c>
      <x:c r="H50" s="20" t="n">
        <x:v>0.7562189054726368</x:v>
      </x:c>
      <x:c r="I50" s="20" t="n">
        <x:v>0.8172043010752689</x:v>
      </x:c>
      <x:c r="J50" s="20" t="n">
        <x:v>0.8752223982363645</x:v>
      </x:c>
      <x:c r="K50" s="20" t="n">
        <x:v>0.14689254551018804</x:v>
      </x:c>
      <x:c r="L50" s="20" t="n">
        <x:v>0.08416714518304347</x:v>
      </x:c>
      <x:c r="M50" s="12" t="str">
        <x:v>bce</x:v>
      </x:c>
      <x:c r="N50" s="8" t="str">
        <x:v>Entrenamiento</x:v>
      </x:c>
      <x:c r="O50" s="8" t="str">
        <x:v>paper_baseline_v1</x:v>
      </x:c>
    </x:row>
    <x:row r="51" ht="23" customHeight="1">
      <x:c r="A51" s="2" t="str">
        <x:v>CLIP + DINOv2</x:v>
      </x:c>
      <x:c r="B51" s="2" t="str">
        <x:v>Binaria</x:v>
      </x:c>
      <x:c r="C51" s="17" t="n">
        <x:v>123</x:v>
      </x:c>
      <x:c r="D51" s="18" t="n">
        <x:v>0.9067404655394647</x:v>
      </x:c>
      <x:c r="E51" s="18" t="n">
        <x:v>0.8043478260869565</x:v>
      </x:c>
      <x:c r="F51" s="18" t="n">
        <x:v>0.8004018500265373</x:v>
      </x:c>
      <x:c r="G51" s="18" t="n">
        <x:v>0.7247706422018348</x:v>
      </x:c>
      <x:c r="H51" s="18" t="n">
        <x:v>0.7783251231527094</x:v>
      </x:c>
      <x:c r="I51" s="18" t="n">
        <x:v>0.8404255319148937</x:v>
      </x:c>
      <x:c r="J51" s="18" t="n">
        <x:v>0.8598021921811754</x:v>
      </x:c>
      <x:c r="K51" s="18" t="n">
        <x:v>0.13447724051219553</x:v>
      </x:c>
      <x:c r="L51" s="18" t="n">
        <x:v>0.09415073401295652</x:v>
      </x:c>
      <x:c r="M51" s="11" t="str">
        <x:v>bce</x:v>
      </x:c>
      <x:c r="N51" s="2" t="str">
        <x:v>Entrenamiento</x:v>
      </x:c>
      <x:c r="O51" s="2" t="str">
        <x:v>paper_baseline_v1</x:v>
      </x:c>
    </x:row>
    <x:row r="52" ht="23" customHeight="1">
      <x:c r="A52" s="8" t="str">
        <x:v>CLIP + DINOv2</x:v>
      </x:c>
      <x:c r="B52" s="8" t="str">
        <x:v>Binaria</x:v>
      </x:c>
      <x:c r="C52" s="19" t="n">
        <x:v>456</x:v>
      </x:c>
      <x:c r="D52" s="20" t="n">
        <x:v>0.9282735613010843</x:v>
      </x:c>
      <x:c r="E52" s="20" t="n">
        <x:v>0.8304347826086956</x:v>
      </x:c>
      <x:c r="F52" s="20" t="n">
        <x:v>0.8365683524148912</x:v>
      </x:c>
      <x:c r="G52" s="20" t="n">
        <x:v>0.9541284403669725</x:v>
      </x:c>
      <x:c r="H52" s="20" t="n">
        <x:v>0.8421052631578947</x:v>
      </x:c>
      <x:c r="I52" s="20" t="n">
        <x:v>0.7536231884057971</x:v>
      </x:c>
      <x:c r="J52" s="20" t="n">
        <x:v>0.9129606724389195</x:v>
      </x:c>
      <x:c r="K52" s="20" t="n">
        <x:v>0.12722631249376415</x:v>
      </x:c>
      <x:c r="L52" s="20" t="n">
        <x:v>0.10742329988943483</x:v>
      </x:c>
      <x:c r="M52" s="12" t="str">
        <x:v>bce</x:v>
      </x:c>
      <x:c r="N52" s="8" t="str">
        <x:v>Entrenamiento</x:v>
      </x:c>
      <x:c r="O52" s="8" t="str">
        <x:v>paper_baseline_v1</x:v>
      </x:c>
    </x:row>
    <x:row r="53" ht="23" customHeight="1">
      <x:c r="A53" s="2" t="str">
        <x:v>CLIP + DINOv2</x:v>
      </x:c>
      <x:c r="B53" s="2" t="str">
        <x:v>Binaria</x:v>
      </x:c>
      <x:c r="C53" s="17" t="n">
        <x:v>789</x:v>
      </x:c>
      <x:c r="D53" s="18" t="n">
        <x:v>0.8814890710382515</x:v>
      </x:c>
      <x:c r="E53" s="18" t="n">
        <x:v>0.7913043478260869</x:v>
      </x:c>
      <x:c r="F53" s="18" t="n">
        <x:v>0.7942471159684275</x:v>
      </x:c>
      <x:c r="G53" s="18" t="n">
        <x:v>0.8425925925925926</x:v>
      </x:c>
      <x:c r="H53" s="18" t="n">
        <x:v>0.7913043478260869</x:v>
      </x:c>
      <x:c r="I53" s="18" t="n">
        <x:v>0.7459016393442623</x:v>
      </x:c>
      <x:c r="J53" s="18" t="n">
        <x:v>0.8478588318859195</x:v>
      </x:c>
      <x:c r="K53" s="18" t="n">
        <x:v>0.14958914255553035</x:v>
      </x:c>
      <x:c r="L53" s="18" t="n">
        <x:v>0.09653296644499995</x:v>
      </x:c>
      <x:c r="M53" s="11" t="str">
        <x:v>bce</x:v>
      </x:c>
      <x:c r="N53" s="2" t="str">
        <x:v>Entrenamiento</x:v>
      </x:c>
      <x:c r="O53" s="2" t="str">
        <x:v>paper_baseline_v1</x:v>
      </x:c>
    </x:row>
    <x:row r="54" ht="23" customHeight="1">
      <x:c r="A54" s="8" t="str">
        <x:v>CLIP + DINOv2</x:v>
      </x:c>
      <x:c r="B54" s="8" t="str">
        <x:v>Binaria</x:v>
      </x:c>
      <x:c r="C54" s="19" t="n">
        <x:v>2024</x:v>
      </x:c>
      <x:c r="D54" s="20" t="n">
        <x:v>0.9247858063537797</x:v>
      </x:c>
      <x:c r="E54" s="20" t="n">
        <x:v>0.8434782608695652</x:v>
      </x:c>
      <x:c r="F54" s="20" t="n">
        <x:v>0.841686253696262</x:v>
      </x:c>
      <x:c r="G54" s="20" t="n">
        <x:v>0.8073394495412844</x:v>
      </x:c>
      <x:c r="H54" s="20" t="n">
        <x:v>0.8301886792452831</x:v>
      </x:c>
      <x:c r="I54" s="20" t="n">
        <x:v>0.8543689320388349</x:v>
      </x:c>
      <x:c r="J54" s="20" t="n">
        <x:v>0.9202220576136317</x:v>
      </x:c>
      <x:c r="K54" s="20" t="n">
        <x:v>0.11478922905277485</x:v>
      </x:c>
      <x:c r="L54" s="20" t="n">
        <x:v>0.07570312361755299</x:v>
      </x:c>
      <x:c r="M54" s="12" t="str">
        <x:v>bce</x:v>
      </x:c>
      <x:c r="N54" s="8" t="str">
        <x:v>Entrenamiento</x:v>
      </x:c>
      <x:c r="O54" s="8" t="str">
        <x:v>paper_baseline_v1</x:v>
      </x:c>
    </x:row>
    <x:row r="55" ht="23" customHeight="1">
      <x:c r="A55" s="2" t="str">
        <x:v>CLIP + metadata</x:v>
      </x:c>
      <x:c r="B55" s="2" t="str">
        <x:v>Binaria</x:v>
      </x:c>
      <x:c r="C55" s="17" t="n">
        <x:v>42</x:v>
      </x:c>
      <x:c r="D55" s="18" t="n">
        <x:v>0.9529447480267152</x:v>
      </x:c>
      <x:c r="E55" s="18" t="n">
        <x:v>0.8782608695652174</x:v>
      </x:c>
      <x:c r="F55" s="18" t="n">
        <x:v>0.8809957498482088</x:v>
      </x:c>
      <x:c r="G55" s="18" t="n">
        <x:v>0.9259259259259259</x:v>
      </x:c>
      <x:c r="H55" s="18" t="n">
        <x:v>0.8771929824561403</x:v>
      </x:c>
      <x:c r="I55" s="18" t="n">
        <x:v>0.8333333333333334</x:v>
      </x:c>
      <x:c r="J55" s="18" t="n">
        <x:v>0.9434167933382116</x:v>
      </x:c>
      <x:c r="K55" s="18" t="n">
        <x:v>0.08872503010371784</x:v>
      </x:c>
      <x:c r="L55" s="18" t="n">
        <x:v>0.05836638418843484</x:v>
      </x:c>
      <x:c r="M55" s="11" t="str">
        <x:v>bce</x:v>
      </x:c>
      <x:c r="N55" s="2" t="str">
        <x:v>Entrenamiento</x:v>
      </x:c>
      <x:c r="O55" s="2" t="str">
        <x:v>paper_baseline_v1</x:v>
      </x:c>
    </x:row>
    <x:row r="56" ht="23" customHeight="1">
      <x:c r="A56" s="8" t="str">
        <x:v>CLIP + metadata</x:v>
      </x:c>
      <x:c r="B56" s="8" t="str">
        <x:v>Binaria</x:v>
      </x:c>
      <x:c r="C56" s="19" t="n">
        <x:v>123</x:v>
      </x:c>
      <x:c r="D56" s="20" t="n">
        <x:v>0.9554932140420047</x:v>
      </x:c>
      <x:c r="E56" s="20" t="n">
        <x:v>0.9130434782608695</x:v>
      </x:c>
      <x:c r="F56" s="20" t="n">
        <x:v>0.9137159754340738</x:v>
      </x:c>
      <x:c r="G56" s="20" t="n">
        <x:v>0.926605504587156</x:v>
      </x:c>
      <x:c r="H56" s="20" t="n">
        <x:v>0.9099099099099099</x:v>
      </x:c>
      <x:c r="I56" s="20" t="n">
        <x:v>0.8938053097345132</x:v>
      </x:c>
      <x:c r="J56" s="20" t="n">
        <x:v>0.9332461780459312</x:v>
      </x:c>
      <x:c r="K56" s="20" t="n">
        <x:v>0.07266456668173461</x:v>
      </x:c>
      <x:c r="L56" s="20" t="n">
        <x:v>0.033509900609852206</x:v>
      </x:c>
      <x:c r="M56" s="12" t="str">
        <x:v>bce</x:v>
      </x:c>
      <x:c r="N56" s="8" t="str">
        <x:v>Entrenamiento</x:v>
      </x:c>
      <x:c r="O56" s="8" t="str">
        <x:v>paper_baseline_v1</x:v>
      </x:c>
    </x:row>
    <x:row r="57" ht="23" customHeight="1">
      <x:c r="A57" s="2" t="str">
        <x:v>CLIP + metadata</x:v>
      </x:c>
      <x:c r="B57" s="2" t="str">
        <x:v>Binaria</x:v>
      </x:c>
      <x:c r="C57" s="17" t="n">
        <x:v>456</x:v>
      </x:c>
      <x:c r="D57" s="18" t="n">
        <x:v>0.9410114489347183</x:v>
      </x:c>
      <x:c r="E57" s="18" t="n">
        <x:v>0.8739130434782608</x:v>
      </x:c>
      <x:c r="F57" s="18" t="n">
        <x:v>0.877890666464478</x:v>
      </x:c>
      <x:c r="G57" s="18" t="n">
        <x:v>0.9541284403669725</x:v>
      </x:c>
      <x:c r="H57" s="18" t="n">
        <x:v>0.8776371308016878</x:v>
      </x:c>
      <x:c r="I57" s="18" t="n">
        <x:v>0.8125</x:v>
      </x:c>
      <x:c r="J57" s="18" t="n">
        <x:v>0.9251008095375675</x:v>
      </x:c>
      <x:c r="K57" s="18" t="n">
        <x:v>0.09940551051723452</x:v>
      </x:c>
      <x:c r="L57" s="18" t="n">
        <x:v>0.0821663191842796</x:v>
      </x:c>
      <x:c r="M57" s="11" t="str">
        <x:v>bce</x:v>
      </x:c>
      <x:c r="N57" s="2" t="str">
        <x:v>Entrenamiento</x:v>
      </x:c>
      <x:c r="O57" s="2" t="str">
        <x:v>paper_baseline_v1</x:v>
      </x:c>
    </x:row>
    <x:row r="58" ht="23" customHeight="1">
      <x:c r="A58" s="8" t="str">
        <x:v>CLIP + metadata</x:v>
      </x:c>
      <x:c r="B58" s="8" t="str">
        <x:v>Binaria</x:v>
      </x:c>
      <x:c r="C58" s="19" t="n">
        <x:v>789</x:v>
      </x:c>
      <x:c r="D58" s="20" t="n">
        <x:v>0.9434578020643596</x:v>
      </x:c>
      <x:c r="E58" s="20" t="n">
        <x:v>0.8739130434782608</x:v>
      </x:c>
      <x:c r="F58" s="20" t="n">
        <x:v>0.8790224650880388</x:v>
      </x:c>
      <x:c r="G58" s="20" t="n">
        <x:v>0.9629629629629629</x:v>
      </x:c>
      <x:c r="H58" s="20" t="n">
        <x:v>0.8776371308016878</x:v>
      </x:c>
      <x:c r="I58" s="20" t="n">
        <x:v>0.8062015503875969</x:v>
      </x:c>
      <x:c r="J58" s="20" t="n">
        <x:v>0.8979017164558312</x:v>
      </x:c>
      <x:c r="K58" s="20" t="n">
        <x:v>0.10281114750733157</x:v>
      </x:c>
      <x:c r="L58" s="20" t="n">
        <x:v>0.09685657370718376</x:v>
      </x:c>
      <x:c r="M58" s="12" t="str">
        <x:v>bce</x:v>
      </x:c>
      <x:c r="N58" s="8" t="str">
        <x:v>Entrenamiento</x:v>
      </x:c>
      <x:c r="O58" s="8" t="str">
        <x:v>paper_baseline_v1</x:v>
      </x:c>
    </x:row>
    <x:row r="59" ht="23" customHeight="1">
      <x:c r="A59" s="2" t="str">
        <x:v>CLIP + metadata</x:v>
      </x:c>
      <x:c r="B59" s="2" t="str">
        <x:v>Binaria</x:v>
      </x:c>
      <x:c r="C59" s="17" t="n">
        <x:v>2024</x:v>
      </x:c>
      <x:c r="D59" s="18" t="n">
        <x:v>0.9557206763211767</x:v>
      </x:c>
      <x:c r="E59" s="18" t="n">
        <x:v>0.8826086956521739</x:v>
      </x:c>
      <x:c r="F59" s="18" t="n">
        <x:v>0.8843354310410191</x:v>
      </x:c>
      <x:c r="G59" s="18" t="n">
        <x:v>0.9174311926605505</x:v>
      </x:c>
      <x:c r="H59" s="18" t="n">
        <x:v>0.8810572687224669</x:v>
      </x:c>
      <x:c r="I59" s="18" t="n">
        <x:v>0.847457627118644</x:v>
      </x:c>
      <x:c r="J59" s="18" t="n">
        <x:v>0.9452481505436007</x:v>
      </x:c>
      <x:c r="K59" s="18" t="n">
        <x:v>0.0916181634563829</x:v>
      </x:c>
      <x:c r="L59" s="18" t="n">
        <x:v>0.07241312497743556</x:v>
      </x:c>
      <x:c r="M59" s="11" t="str">
        <x:v>bce</x:v>
      </x:c>
      <x:c r="N59" s="2" t="str">
        <x:v>Entrenamiento</x:v>
      </x:c>
      <x:c r="O59" s="2" t="str">
        <x:v>paper_baseline_v1</x:v>
      </x:c>
    </x:row>
    <x:row r="60" ht="23" customHeight="1">
      <x:c r="A60" s="8" t="str">
        <x:v>DINOv2 + metadata</x:v>
      </x:c>
      <x:c r="B60" s="8" t="str">
        <x:v>Binaria</x:v>
      </x:c>
      <x:c r="C60" s="19" t="n">
        <x:v>42</x:v>
      </x:c>
      <x:c r="D60" s="20" t="n">
        <x:v>0.9591681845780207</x:v>
      </x:c>
      <x:c r="E60" s="20" t="n">
        <x:v>0.8869565217391304</x:v>
      </x:c>
      <x:c r="F60" s="20" t="n">
        <x:v>0.8886612021857923</x:v>
      </x:c>
      <x:c r="G60" s="20" t="n">
        <x:v>0.9166666666666666</x:v>
      </x:c>
      <x:c r="H60" s="20" t="n">
        <x:v>0.8839285714285714</x:v>
      </x:c>
      <x:c r="I60" s="20" t="n">
        <x:v>0.853448275862069</x:v>
      </x:c>
      <x:c r="J60" s="20" t="n">
        <x:v>0.948894508837974</x:v>
      </x:c>
      <x:c r="K60" s="20" t="n">
        <x:v>0.08532618531121755</x:v>
      </x:c>
      <x:c r="L60" s="20" t="n">
        <x:v>0.07110984090435658</x:v>
      </x:c>
      <x:c r="M60" s="12" t="str">
        <x:v>bce</x:v>
      </x:c>
      <x:c r="N60" s="8" t="str">
        <x:v>Entrenamiento</x:v>
      </x:c>
      <x:c r="O60" s="8" t="str">
        <x:v>paper_baseline_v1</x:v>
      </x:c>
    </x:row>
    <x:row r="61" ht="23" customHeight="1">
      <x:c r="A61" s="2" t="str">
        <x:v>DINOv2 + metadata</x:v>
      </x:c>
      <x:c r="B61" s="2" t="str">
        <x:v>Binaria</x:v>
      </x:c>
      <x:c r="C61" s="17" t="n">
        <x:v>123</x:v>
      </x:c>
      <x:c r="D61" s="18" t="n">
        <x:v>0.9586018651906891</x:v>
      </x:c>
      <x:c r="E61" s="18" t="n">
        <x:v>0.9260869565217391</x:v>
      </x:c>
      <x:c r="F61" s="18" t="n">
        <x:v>0.927022518765638</x:v>
      </x:c>
      <x:c r="G61" s="18" t="n">
        <x:v>0.944954128440367</x:v>
      </x:c>
      <x:c r="H61" s="18" t="n">
        <x:v>0.9237668161434978</x:v>
      </x:c>
      <x:c r="I61" s="18" t="n">
        <x:v>0.9035087719298246</x:v>
      </x:c>
      <x:c r="J61" s="18" t="n">
        <x:v>0.9176805967344013</x:v>
      </x:c>
      <x:c r="K61" s="18" t="n">
        <x:v>0.06309390369644681</x:v>
      </x:c>
      <x:c r="L61" s="18" t="n">
        <x:v>0.04314080985540219</x:v>
      </x:c>
      <x:c r="M61" s="11" t="str">
        <x:v>bce</x:v>
      </x:c>
      <x:c r="N61" s="2" t="str">
        <x:v>Entrenamiento</x:v>
      </x:c>
      <x:c r="O61" s="2" t="str">
        <x:v>paper_baseline_v1</x:v>
      </x:c>
    </x:row>
    <x:row r="62" ht="23" customHeight="1">
      <x:c r="A62" s="8" t="str">
        <x:v>DINOv2 + metadata</x:v>
      </x:c>
      <x:c r="B62" s="8" t="str">
        <x:v>Binaria</x:v>
      </x:c>
      <x:c r="C62" s="19" t="n">
        <x:v>456</x:v>
      </x:c>
      <x:c r="D62" s="20" t="n">
        <x:v>0.9496550155432557</x:v>
      </x:c>
      <x:c r="E62" s="20" t="n">
        <x:v>0.8521739130434782</x:v>
      </x:c>
      <x:c r="F62" s="20" t="n">
        <x:v>0.8522253392978998</x:v>
      </x:c>
      <x:c r="G62" s="20" t="n">
        <x:v>0.8532110091743119</x:v>
      </x:c>
      <x:c r="H62" s="20" t="n">
        <x:v>0.8454545454545455</x:v>
      </x:c>
      <x:c r="I62" s="20" t="n">
        <x:v>0.8378378378378378</x:v>
      </x:c>
      <x:c r="J62" s="20" t="n">
        <x:v>0.9475110196207868</x:v>
      </x:c>
      <x:c r="K62" s="20" t="n">
        <x:v>0.09864676986156003</x:v>
      </x:c>
      <x:c r="L62" s="20" t="n">
        <x:v>0.06990031096440173</x:v>
      </x:c>
      <x:c r="M62" s="12" t="str">
        <x:v>bce</x:v>
      </x:c>
      <x:c r="N62" s="8" t="str">
        <x:v>Entrenamiento</x:v>
      </x:c>
      <x:c r="O62" s="8" t="str">
        <x:v>paper_baseline_v1</x:v>
      </x:c>
    </x:row>
    <x:row r="63" ht="23" customHeight="1">
      <x:c r="A63" s="2" t="str">
        <x:v>DINOv2 + metadata</x:v>
      </x:c>
      <x:c r="B63" s="2" t="str">
        <x:v>Binaria</x:v>
      </x:c>
      <x:c r="C63" s="17" t="n">
        <x:v>789</x:v>
      </x:c>
      <x:c r="D63" s="18" t="n">
        <x:v>0.9197024893746205</x:v>
      </x:c>
      <x:c r="E63" s="18" t="n">
        <x:v>0.8391304347826087</x:v>
      </x:c>
      <x:c r="F63" s="18" t="n">
        <x:v>0.8414541590771099</x:v>
      </x:c>
      <x:c r="G63" s="18" t="n">
        <x:v>0.8796296296296297</x:v>
      </x:c>
      <x:c r="H63" s="18" t="n">
        <x:v>0.8370044052863436</x:v>
      </x:c>
      <x:c r="I63" s="18" t="n">
        <x:v>0.7983193277310925</x:v>
      </x:c>
      <x:c r="J63" s="18" t="n">
        <x:v>0.8785893162010914</x:v>
      </x:c>
      <x:c r="K63" s="18" t="n">
        <x:v>0.13610136384093202</x:v>
      </x:c>
      <x:c r="L63" s="18" t="n">
        <x:v>0.12264046192023932</x:v>
      </x:c>
      <x:c r="M63" s="11" t="str">
        <x:v>bce</x:v>
      </x:c>
      <x:c r="N63" s="2" t="str">
        <x:v>Entrenamiento</x:v>
      </x:c>
      <x:c r="O63" s="2" t="str">
        <x:v>paper_baseline_v1</x:v>
      </x:c>
    </x:row>
    <x:row r="64" ht="23" customHeight="1">
      <x:c r="A64" s="8" t="str">
        <x:v>DINOv2 + metadata</x:v>
      </x:c>
      <x:c r="B64" s="8" t="str">
        <x:v>Binaria</x:v>
      </x:c>
      <x:c r="C64" s="19" t="n">
        <x:v>2024</x:v>
      </x:c>
      <x:c r="D64" s="20" t="n">
        <x:v>0.9494654636439457</x:v>
      </x:c>
      <x:c r="E64" s="20" t="n">
        <x:v>0.8652173913043478</x:v>
      </x:c>
      <x:c r="F64" s="20" t="n">
        <x:v>0.8668966563044962</x:v>
      </x:c>
      <x:c r="G64" s="20" t="n">
        <x:v>0.8990825688073395</x:v>
      </x:c>
      <x:c r="H64" s="20" t="n">
        <x:v>0.8634361233480177</x:v>
      </x:c>
      <x:c r="I64" s="20" t="n">
        <x:v>0.8305084745762712</x:v>
      </x:c>
      <x:c r="J64" s="20" t="n">
        <x:v>0.9332553051681264</x:v>
      </x:c>
      <x:c r="K64" s="20" t="n">
        <x:v>0.09302882234792227</x:v>
      </x:c>
      <x:c r="L64" s="20" t="n">
        <x:v>0.06443557024489995</x:v>
      </x:c>
      <x:c r="M64" s="12" t="str">
        <x:v>bce</x:v>
      </x:c>
      <x:c r="N64" s="8" t="str">
        <x:v>Entrenamiento</x:v>
      </x:c>
      <x:c r="O64" s="8" t="str">
        <x:v>paper_baseline_v1</x:v>
      </x:c>
    </x:row>
    <x:row r="65" ht="23" customHeight="1">
      <x:c r="A65" s="2" t="str">
        <x:v>ConvNeXt + metadata</x:v>
      </x:c>
      <x:c r="B65" s="2" t="str">
        <x:v>Binaria</x:v>
      </x:c>
      <x:c r="C65" s="17" t="n">
        <x:v>42</x:v>
      </x:c>
      <x:c r="D65" s="18" t="n">
        <x:v>0.9595476624165148</x:v>
      </x:c>
      <x:c r="E65" s="18" t="n">
        <x:v>0.8826086956521739</x:v>
      </x:c>
      <x:c r="F65" s="18" t="n">
        <x:v>0.8845628415300546</x:v>
      </x:c>
      <x:c r="G65" s="18" t="n">
        <x:v>0.9166666666666666</x:v>
      </x:c>
      <x:c r="H65" s="18" t="n">
        <x:v>0.88</x:v>
      </x:c>
      <x:c r="I65" s="18" t="n">
        <x:v>0.8461538461538461</x:v>
      </x:c>
      <x:c r="J65" s="18" t="n">
        <x:v>0.9493838669803227</x:v>
      </x:c>
      <x:c r="K65" s="18" t="n">
        <x:v>0.08167478100804973</x:v>
      </x:c>
      <x:c r="L65" s="18" t="n">
        <x:v>0.06026164186016957</x:v>
      </x:c>
      <x:c r="M65" s="11" t="str">
        <x:v>bce</x:v>
      </x:c>
      <x:c r="N65" s="2" t="str">
        <x:v>Entrenamiento</x:v>
      </x:c>
      <x:c r="O65" s="2" t="str">
        <x:v>paper_baseline_v1</x:v>
      </x:c>
    </x:row>
    <x:row r="66" ht="23" customHeight="1">
      <x:c r="A66" s="8" t="str">
        <x:v>ConvNeXt + metadata</x:v>
      </x:c>
      <x:c r="B66" s="8" t="str">
        <x:v>Binaria</x:v>
      </x:c>
      <x:c r="C66" s="19" t="n">
        <x:v>123</x:v>
      </x:c>
      <x:c r="D66" s="20" t="n">
        <x:v>0.9520812798544241</x:v>
      </x:c>
      <x:c r="E66" s="20" t="n">
        <x:v>0.908695652173913</x:v>
      </x:c>
      <x:c r="F66" s="20" t="n">
        <x:v>0.9109485177041474</x:v>
      </x:c>
      <x:c r="G66" s="20" t="n">
        <x:v>0.9541284403669725</x:v>
      </x:c>
      <x:c r="H66" s="20" t="n">
        <x:v>0.9082969432314411</x:v>
      </x:c>
      <x:c r="I66" s="20" t="n">
        <x:v>0.8666666666666667</x:v>
      </x:c>
      <x:c r="J66" s="20" t="n">
        <x:v>0.9058161573595815</x:v>
      </x:c>
      <x:c r="K66" s="20" t="n">
        <x:v>0.07423774832062018</x:v>
      </x:c>
      <x:c r="L66" s="20" t="n">
        <x:v>0.04699185598548694</x:v>
      </x:c>
      <x:c r="M66" s="12" t="str">
        <x:v>bce</x:v>
      </x:c>
      <x:c r="N66" s="8" t="str">
        <x:v>Entrenamiento</x:v>
      </x:c>
      <x:c r="O66" s="8" t="str">
        <x:v>paper_baseline_v1</x:v>
      </x:c>
    </x:row>
    <x:row r="67" ht="23" customHeight="1">
      <x:c r="A67" s="2" t="str">
        <x:v>ConvNeXt + metadata</x:v>
      </x:c>
      <x:c r="B67" s="2" t="str">
        <x:v>Binaria</x:v>
      </x:c>
      <x:c r="C67" s="17" t="n">
        <x:v>456</x:v>
      </x:c>
      <x:c r="D67" s="18" t="n">
        <x:v>0.9379786185457579</x:v>
      </x:c>
      <x:c r="E67" s="18" t="n">
        <x:v>0.8608695652173913</x:v>
      </x:c>
      <x:c r="F67" s="18" t="n">
        <x:v>0.8604898021078171</x:v>
      </x:c>
      <x:c r="G67" s="18" t="n">
        <x:v>0.8532110091743119</x:v>
      </x:c>
      <x:c r="H67" s="18" t="n">
        <x:v>0.8532110091743119</x:v>
      </x:c>
      <x:c r="I67" s="18" t="n">
        <x:v>0.8532110091743119</x:v>
      </x:c>
      <x:c r="J67" s="18" t="n">
        <x:v>0.9216207917249332</x:v>
      </x:c>
      <x:c r="K67" s="18" t="n">
        <x:v>0.11462137520967068</x:v>
      </x:c>
      <x:c r="L67" s="18" t="n">
        <x:v>0.10956609892605099</x:v>
      </x:c>
      <x:c r="M67" s="11" t="str">
        <x:v>bce</x:v>
      </x:c>
      <x:c r="N67" s="2" t="str">
        <x:v>Entrenamiento</x:v>
      </x:c>
      <x:c r="O67" s="2" t="str">
        <x:v>paper_baseline_v1</x:v>
      </x:c>
    </x:row>
    <x:row r="68" ht="23" customHeight="1">
      <x:c r="A68" s="8" t="str">
        <x:v>ConvNeXt + metadata</x:v>
      </x:c>
      <x:c r="B68" s="8" t="str">
        <x:v>Binaria</x:v>
      </x:c>
      <x:c r="C68" s="19" t="n">
        <x:v>789</x:v>
      </x:c>
      <x:c r="D68" s="20" t="n">
        <x:v>0.9232695810564663</x:v>
      </x:c>
      <x:c r="E68" s="20" t="n">
        <x:v>0.8434782608695652</x:v>
      </x:c>
      <x:c r="F68" s="20" t="n">
        <x:v>0.8482088646023072</x:v>
      </x:c>
      <x:c r="G68" s="20" t="n">
        <x:v>0.9259259259259259</x:v>
      </x:c>
      <x:c r="H68" s="20" t="n">
        <x:v>0.847457627118644</x:v>
      </x:c>
      <x:c r="I68" s="20" t="n">
        <x:v>0.78125</x:v>
      </x:c>
      <x:c r="J68" s="20" t="n">
        <x:v>0.8867726749174729</x:v>
      </x:c>
      <x:c r="K68" s="20" t="n">
        <x:v>0.1338057266114833</x:v>
      </x:c>
      <x:c r="L68" s="20" t="n">
        <x:v>0.1253391792435578</x:v>
      </x:c>
      <x:c r="M68" s="12" t="str">
        <x:v>bce</x:v>
      </x:c>
      <x:c r="N68" s="8" t="str">
        <x:v>Entrenamiento</x:v>
      </x:c>
      <x:c r="O68" s="8" t="str">
        <x:v>paper_baseline_v1</x:v>
      </x:c>
    </x:row>
    <x:row r="69" ht="23" customHeight="1">
      <x:c r="A69" s="2" t="str">
        <x:v>ConvNeXt + metadata</x:v>
      </x:c>
      <x:c r="B69" s="2" t="str">
        <x:v>Binaria</x:v>
      </x:c>
      <x:c r="C69" s="17" t="n">
        <x:v>2024</x:v>
      </x:c>
      <x:c r="D69" s="18" t="n">
        <x:v>0.9525362044127682</x:v>
      </x:c>
      <x:c r="E69" s="18" t="n">
        <x:v>0.8695652173913043</x:v>
      </x:c>
      <x:c r="F69" s="18" t="n">
        <x:v>0.8705739631511108</x:v>
      </x:c>
      <x:c r="G69" s="18" t="n">
        <x:v>0.8899082568807339</x:v>
      </x:c>
      <x:c r="H69" s="18" t="n">
        <x:v>0.8660714285714286</x:v>
      </x:c>
      <x:c r="I69" s="18" t="n">
        <x:v>0.8434782608695652</x:v>
      </x:c>
      <x:c r="J69" s="18" t="n">
        <x:v>0.9454098507963888</x:v>
      </x:c>
      <x:c r="K69" s="18" t="n">
        <x:v>0.09674861056064231</x:v>
      </x:c>
      <x:c r="L69" s="18" t="n">
        <x:v>0.06812656444289135</x:v>
      </x:c>
      <x:c r="M69" s="11" t="str">
        <x:v>bce</x:v>
      </x:c>
      <x:c r="N69" s="2" t="str">
        <x:v>Entrenamiento</x:v>
      </x:c>
      <x:c r="O69" s="2" t="str">
        <x:v>paper_baseline_v1</x:v>
      </x:c>
    </x:row>
    <x:row r="70" ht="23" customHeight="1">
      <x:c r="A70" s="8" t="str">
        <x:v>A: CLIP + DINOv2 + metadata</x:v>
      </x:c>
      <x:c r="B70" s="8" t="str">
        <x:v>Binaria</x:v>
      </x:c>
      <x:c r="C70" s="19" t="n">
        <x:v>42</x:v>
      </x:c>
      <x:c r="D70" s="20" t="n">
        <x:v>0.9645567698846387</x:v>
      </x:c>
      <x:c r="E70" s="20" t="n">
        <x:v>0.8869565217391304</x:v>
      </x:c>
      <x:c r="F70" s="20" t="n">
        <x:v>0.8913175470552519</x:v>
      </x:c>
      <x:c r="G70" s="20" t="n">
        <x:v>0.9629629629629629</x:v>
      </x:c>
      <x:c r="H70" s="20" t="n">
        <x:v>0.8888888888888888</x:v>
      </x:c>
      <x:c r="I70" s="20" t="n">
        <x:v>0.8253968253968254</x:v>
      </x:c>
      <x:c r="J70" s="20" t="n">
        <x:v>0.9528593867409838</x:v>
      </x:c>
      <x:c r="K70" s="20" t="n">
        <x:v>0.09158828370071156</x:v>
      </x:c>
      <x:c r="L70" s="20" t="n">
        <x:v>0.08397408401623095</x:v>
      </x:c>
      <x:c r="M70" s="12" t="str">
        <x:v>bce</x:v>
      </x:c>
      <x:c r="N70" s="8" t="str">
        <x:v>Entrenamiento</x:v>
      </x:c>
      <x:c r="O70" s="8" t="str">
        <x:v>paper_baseline_v1</x:v>
      </x:c>
    </x:row>
    <x:row r="71" ht="23" customHeight="1">
      <x:c r="A71" s="2" t="str">
        <x:v>A: CLIP + DINOv2 + metadata</x:v>
      </x:c>
      <x:c r="B71" s="2" t="str">
        <x:v>Binaria</x:v>
      </x:c>
      <x:c r="C71" s="17" t="n">
        <x:v>123</x:v>
      </x:c>
      <x:c r="D71" s="18" t="n">
        <x:v>0.9557206763211767</x:v>
      </x:c>
      <x:c r="E71" s="18" t="n">
        <x:v>0.908695652173913</x:v>
      </x:c>
      <x:c r="F71" s="18" t="n">
        <x:v>0.9091288194707712</x:v>
      </x:c>
      <x:c r="G71" s="18" t="n">
        <x:v>0.9174311926605505</x:v>
      </x:c>
      <x:c r="H71" s="18" t="n">
        <x:v>0.9049773755656109</x:v>
      </x:c>
      <x:c r="I71" s="18" t="n">
        <x:v>0.8928571428571429</x:v>
      </x:c>
      <x:c r="J71" s="18" t="n">
        <x:v>0.9281910421065851</x:v>
      </x:c>
      <x:c r="K71" s="18" t="n">
        <x:v>0.06937712745283285</x:v>
      </x:c>
      <x:c r="L71" s="18" t="n">
        <x:v>0.04730584362489567</x:v>
      </x:c>
      <x:c r="M71" s="11" t="str">
        <x:v>bce</x:v>
      </x:c>
      <x:c r="N71" s="2" t="str">
        <x:v>Entrenamiento</x:v>
      </x:c>
      <x:c r="O71" s="2" t="str">
        <x:v>paper_baseline_v1</x:v>
      </x:c>
    </x:row>
    <x:row r="72" ht="23" customHeight="1">
      <x:c r="A72" s="8" t="str">
        <x:v>A: CLIP + DINOv2 + metadata</x:v>
      </x:c>
      <x:c r="B72" s="8" t="str">
        <x:v>Binaria</x:v>
      </x:c>
      <x:c r="C72" s="19" t="n">
        <x:v>456</x:v>
      </x:c>
      <x:c r="D72" s="20" t="n">
        <x:v>0.9592084312684814</x:v>
      </x:c>
      <x:c r="E72" s="20" t="n">
        <x:v>0.8956521739130435</x:v>
      </x:c>
      <x:c r="F72" s="20" t="n">
        <x:v>0.8967321252558951</x:v>
      </x:c>
      <x:c r="G72" s="20" t="n">
        <x:v>0.9174311926605505</x:v>
      </x:c>
      <x:c r="H72" s="20" t="n">
        <x:v>0.8928571428571429</x:v>
      </x:c>
      <x:c r="I72" s="20" t="n">
        <x:v>0.8695652173913043</x:v>
      </x:c>
      <x:c r="J72" s="20" t="n">
        <x:v>0.9522909874657004</x:v>
      </x:c>
      <x:c r="K72" s="20" t="n">
        <x:v>0.07918019654522346</x:v>
      </x:c>
      <x:c r="L72" s="20" t="n">
        <x:v>0.04766279663186411</x:v>
      </x:c>
      <x:c r="M72" s="12" t="str">
        <x:v>bce</x:v>
      </x:c>
      <x:c r="N72" s="8" t="str">
        <x:v>Entrenamiento</x:v>
      </x:c>
      <x:c r="O72" s="8" t="str">
        <x:v>paper_baseline_v1</x:v>
      </x:c>
    </x:row>
    <x:row r="73" ht="23" customHeight="1">
      <x:c r="A73" s="2" t="str">
        <x:v>A: CLIP + DINOv2 + metadata</x:v>
      </x:c>
      <x:c r="B73" s="2" t="str">
        <x:v>Binaria</x:v>
      </x:c>
      <x:c r="C73" s="17" t="n">
        <x:v>789</x:v>
      </x:c>
      <x:c r="D73" s="18" t="n">
        <x:v>0.9234972677595628</x:v>
      </x:c>
      <x:c r="E73" s="18" t="n">
        <x:v>0.8391304347826087</x:v>
      </x:c>
      <x:c r="F73" s="18" t="n">
        <x:v>0.8441105039465695</x:v>
      </x:c>
      <x:c r="G73" s="18" t="n">
        <x:v>0.9259259259259259</x:v>
      </x:c>
      <x:c r="H73" s="18" t="n">
        <x:v>0.8438818565400844</x:v>
      </x:c>
      <x:c r="I73" s="18" t="n">
        <x:v>0.7751937984496124</x:v>
      </x:c>
      <x:c r="J73" s="18" t="n">
        <x:v>0.8752903916924715</x:v>
      </x:c>
      <x:c r="K73" s="18" t="n">
        <x:v>0.1282437985270114</x:v>
      </x:c>
      <x:c r="L73" s="18" t="n">
        <x:v>0.12179955568771964</x:v>
      </x:c>
      <x:c r="M73" s="11" t="str">
        <x:v>bce</x:v>
      </x:c>
      <x:c r="N73" s="2" t="str">
        <x:v>Entrenamiento</x:v>
      </x:c>
      <x:c r="O73" s="2" t="str">
        <x:v>paper_baseline_v1</x:v>
      </x:c>
    </x:row>
    <x:row r="74" ht="23" customHeight="1">
      <x:c r="A74" s="8" t="str">
        <x:v>A: CLIP + DINOv2 + metadata</x:v>
      </x:c>
      <x:c r="B74" s="8" t="str">
        <x:v>Binaria</x:v>
      </x:c>
      <x:c r="C74" s="19" t="n">
        <x:v>2024</x:v>
      </x:c>
      <x:c r="D74" s="20" t="n">
        <x:v>0.9502615816210479</x:v>
      </x:c>
      <x:c r="E74" s="20" t="n">
        <x:v>0.8739130434782608</x:v>
      </x:c>
      <x:c r="F74" s="20" t="n">
        <x:v>0.8728864963226932</x:v>
      </x:c>
      <x:c r="G74" s="20" t="n">
        <x:v>0.8532110091743119</x:v>
      </x:c>
      <x:c r="H74" s="20" t="n">
        <x:v>0.8651162790697674</x:v>
      </x:c>
      <x:c r="I74" s="20" t="n">
        <x:v>0.8773584905660378</x:v>
      </x:c>
      <x:c r="J74" s="20" t="n">
        <x:v>0.9344468979279409</x:v>
      </x:c>
      <x:c r="K74" s="20" t="n">
        <x:v>0.0982524308791886</x:v>
      </x:c>
      <x:c r="L74" s="20" t="n">
        <x:v>0.07679018603253315</x:v>
      </x:c>
      <x:c r="M74" s="12" t="str">
        <x:v>bce</x:v>
      </x:c>
      <x:c r="N74" s="8" t="str">
        <x:v>Entrenamiento</x:v>
      </x:c>
      <x:c r="O74" s="8" t="str">
        <x:v>paper_baseline_v1</x:v>
      </x:c>
    </x:row>
    <x:row r="75" ht="23" customHeight="1">
      <x:c r="A75" s="2" t="str">
        <x:v>B: fusión intermedia</x:v>
      </x:c>
      <x:c r="B75" s="2" t="str">
        <x:v>Binaria</x:v>
      </x:c>
      <x:c r="C75" s="17" t="n">
        <x:v>42</x:v>
      </x:c>
      <x:c r="D75" s="18" t="n">
        <x:v>0.9637219186399514</x:v>
      </x:c>
      <x:c r="E75" s="18" t="n">
        <x:v>0.8782608695652174</x:v>
      </x:c>
      <x:c r="F75" s="18" t="n">
        <x:v>0.8767455980570735</x:v>
      </x:c>
      <x:c r="G75" s="18" t="n">
        <x:v>0.8518518518518519</x:v>
      </x:c>
      <x:c r="H75" s="18" t="n">
        <x:v>0.8679245283018868</x:v>
      </x:c>
      <x:c r="I75" s="18" t="n">
        <x:v>0.8846153846153846</x:v>
      </x:c>
      <x:c r="J75" s="18" t="n">
        <x:v>0.9538682784061392</x:v>
      </x:c>
      <x:c r="K75" s="18" t="n">
        <x:v>0.09657860227365277</x:v>
      </x:c>
      <x:c r="L75" s="18" t="n">
        <x:v>0.14059154600869564</x:v>
      </x:c>
      <x:c r="M75" s="11" t="str">
        <x:v>focal</x:v>
      </x:c>
      <x:c r="N75" s="2" t="str">
        <x:v>Entrenamiento</x:v>
      </x:c>
      <x:c r="O75" s="2" t="str">
        <x:v>paper_baseline_v1</x:v>
      </x:c>
    </x:row>
    <x:row r="76" ht="23" customHeight="1">
      <x:c r="A76" s="8" t="str">
        <x:v>B: fusión intermedia</x:v>
      </x:c>
      <x:c r="B76" s="8" t="str">
        <x:v>Binaria</x:v>
      </x:c>
      <x:c r="C76" s="19" t="n">
        <x:v>123</x:v>
      </x:c>
      <x:c r="D76" s="20" t="n">
        <x:v>0.9621654408977178</x:v>
      </x:c>
      <x:c r="E76" s="20" t="n">
        <x:v>0.9043478260869565</x:v>
      </x:c>
      <x:c r="F76" s="20" t="n">
        <x:v>0.9031768898324362</x:v>
      </x:c>
      <x:c r="G76" s="20" t="n">
        <x:v>0.8807339449541285</x:v>
      </x:c>
      <x:c r="H76" s="20" t="n">
        <x:v>0.897196261682243</x:v>
      </x:c>
      <x:c r="I76" s="20" t="n">
        <x:v>0.9142857142857143</x:v>
      </x:c>
      <x:c r="J76" s="20" t="n">
        <x:v>0.9358928543046168</x:v>
      </x:c>
      <x:c r="K76" s="20" t="n">
        <x:v>0.09359932940833611</x:v>
      </x:c>
      <x:c r="L76" s="20" t="n">
        <x:v>0.14436627786956518</x:v>
      </x:c>
      <x:c r="M76" s="12" t="str">
        <x:v>focal</x:v>
      </x:c>
      <x:c r="N76" s="8" t="str">
        <x:v>Entrenamiento</x:v>
      </x:c>
      <x:c r="O76" s="8" t="str">
        <x:v>paper_baseline_v1</x:v>
      </x:c>
    </x:row>
    <x:row r="77" ht="23" customHeight="1">
      <x:c r="A77" s="2" t="str">
        <x:v>B: fusión intermedia</x:v>
      </x:c>
      <x:c r="B77" s="2" t="str">
        <x:v>Binaria</x:v>
      </x:c>
      <x:c r="C77" s="17" t="n">
        <x:v>456</x:v>
      </x:c>
      <x:c r="D77" s="18" t="n">
        <x:v>0.9586776859504131</x:v>
      </x:c>
      <x:c r="E77" s="18" t="n">
        <x:v>0.8826086956521739</x:v>
      </x:c>
      <x:c r="F77" s="18" t="n">
        <x:v>0.8797861854575784</x:v>
      </x:c>
      <x:c r="G77" s="18" t="n">
        <x:v>0.8256880733944955</x:v>
      </x:c>
      <x:c r="H77" s="18" t="n">
        <x:v>0.8695652173913043</x:v>
      </x:c>
      <x:c r="I77" s="18" t="n">
        <x:v>0.9183673469387755</x:v>
      </x:c>
      <x:c r="J77" s="18" t="n">
        <x:v>0.9530284162183434</x:v>
      </x:c>
      <x:c r="K77" s="18" t="n">
        <x:v>0.09720206631375132</x:v>
      </x:c>
      <x:c r="L77" s="18" t="n">
        <x:v>0.11112328416086956</x:v>
      </x:c>
      <x:c r="M77" s="11" t="str">
        <x:v>focal</x:v>
      </x:c>
      <x:c r="N77" s="2" t="str">
        <x:v>Entrenamiento</x:v>
      </x:c>
      <x:c r="O77" s="2" t="str">
        <x:v>paper_baseline_v1</x:v>
      </x:c>
    </x:row>
    <x:row r="78" ht="23" customHeight="1">
      <x:c r="A78" s="8" t="str">
        <x:v>B: fusión intermedia</x:v>
      </x:c>
      <x:c r="B78" s="8" t="str">
        <x:v>Binaria</x:v>
      </x:c>
      <x:c r="C78" s="19" t="n">
        <x:v>789</x:v>
      </x:c>
      <x:c r="D78" s="20" t="n">
        <x:v>0.9333636915604129</x:v>
      </x:c>
      <x:c r="E78" s="20" t="n">
        <x:v>0.8652173913043478</x:v>
      </x:c>
      <x:c r="F78" s="20" t="n">
        <x:v>0.8644505160898603</x:v>
      </x:c>
      <x:c r="G78" s="20" t="n">
        <x:v>0.8518518518518519</x:v>
      </x:c>
      <x:c r="H78" s="20" t="n">
        <x:v>0.8558139534883721</x:v>
      </x:c>
      <x:c r="I78" s="20" t="n">
        <x:v>0.8598130841121495</x:v>
      </x:c>
      <x:c r="J78" s="20" t="n">
        <x:v>0.8763265375267061</x:v>
      </x:c>
      <x:c r="K78" s="20" t="n">
        <x:v>0.10281338108031128</x:v>
      </x:c>
      <x:c r="L78" s="20" t="n">
        <x:v>0.07857960533217392</x:v>
      </x:c>
      <x:c r="M78" s="12" t="str">
        <x:v>focal</x:v>
      </x:c>
      <x:c r="N78" s="8" t="str">
        <x:v>Entrenamiento</x:v>
      </x:c>
      <x:c r="O78" s="8" t="str">
        <x:v>paper_baseline_v1</x:v>
      </x:c>
    </x:row>
    <x:row r="79" ht="23" customHeight="1">
      <x:c r="A79" s="2" t="str">
        <x:v>B: fusión intermedia</x:v>
      </x:c>
      <x:c r="B79" s="2" t="str">
        <x:v>Binaria</x:v>
      </x:c>
      <x:c r="C79" s="17" t="n">
        <x:v>2024</x:v>
      </x:c>
      <x:c r="D79" s="18" t="n">
        <x:v>0.9598149973462734</x:v>
      </x:c>
      <x:c r="E79" s="18" t="n">
        <x:v>0.8478260869565217</x:v>
      </x:c>
      <x:c r="F79" s="18" t="n">
        <x:v>0.84126923951778</x:v>
      </x:c>
      <x:c r="G79" s="18" t="n">
        <x:v>0.7155963302752294</x:v>
      </x:c>
      <x:c r="H79" s="18" t="n">
        <x:v>0.8167539267015707</x:v>
      </x:c>
      <x:c r="I79" s="18" t="n">
        <x:v>0.9512195121951219</x:v>
      </x:c>
      <x:c r="J79" s="18" t="n">
        <x:v>0.9517294490663335</x:v>
      </x:c>
      <x:c r="K79" s="18" t="n">
        <x:v>0.11513546986156618</x:v>
      </x:c>
      <x:c r="L79" s="18" t="n">
        <x:v>0.1630635677695652</x:v>
      </x:c>
      <x:c r="M79" s="11" t="str">
        <x:v>focal</x:v>
      </x:c>
      <x:c r="N79" s="2" t="str">
        <x:v>Entrenamiento</x:v>
      </x:c>
      <x:c r="O79" s="2" t="str">
        <x:v>paper_baseline_v1</x:v>
      </x:c>
    </x:row>
    <x:row r="80" ht="23" customHeight="1">
      <x:c r="A80" s="8" t="str">
        <x:v>A focal</x:v>
      </x:c>
      <x:c r="B80" s="8" t="str">
        <x:v>Binaria</x:v>
      </x:c>
      <x:c r="C80" s="19" t="n">
        <x:v>42</x:v>
      </x:c>
      <x:c r="D80" s="20" t="n">
        <x:v>0.9651639344262295</x:v>
      </x:c>
      <x:c r="E80" s="20" t="n">
        <x:v>0.8869565217391304</x:v>
      </x:c>
      <x:c r="F80" s="20" t="n">
        <x:v>0.8913175470552519</x:v>
      </x:c>
      <x:c r="G80" s="20" t="n">
        <x:v>0.9629629629629629</x:v>
      </x:c>
      <x:c r="H80" s="20" t="n">
        <x:v>0.8888888888888888</x:v>
      </x:c>
      <x:c r="I80" s="20" t="n">
        <x:v>0.8253968253968254</x:v>
      </x:c>
      <x:c r="J80" s="20" t="n">
        <x:v>0.9511799711135329</x:v>
      </x:c>
      <x:c r="K80" s="20" t="n">
        <x:v>0.09513323948303862</x:v>
      </x:c>
      <x:c r="L80" s="20" t="n">
        <x:v>0.14389200343478262</x:v>
      </x:c>
      <x:c r="M80" s="12" t="str">
        <x:v>focal</x:v>
      </x:c>
      <x:c r="N80" s="8" t="str">
        <x:v>Entrenamiento</x:v>
      </x:c>
      <x:c r="O80" s="8" t="str">
        <x:v>thesis_completion_v1</x:v>
      </x:c>
    </x:row>
    <x:row r="81" ht="23" customHeight="1">
      <x:c r="A81" s="2" t="str">
        <x:v>A focal</x:v>
      </x:c>
      <x:c r="B81" s="2" t="str">
        <x:v>Binaria</x:v>
      </x:c>
      <x:c r="C81" s="17" t="n">
        <x:v>123</x:v>
      </x:c>
      <x:c r="D81" s="18" t="n">
        <x:v>0.9584502236712412</x:v>
      </x:c>
      <x:c r="E81" s="18" t="n">
        <x:v>0.9130434782608695</x:v>
      </x:c>
      <x:c r="F81" s="18" t="n">
        <x:v>0.9128061263173857</x:v>
      </x:c>
      <x:c r="G81" s="18" t="n">
        <x:v>0.908256880733945</x:v>
      </x:c>
      <x:c r="H81" s="18" t="n">
        <x:v>0.908256880733945</x:v>
      </x:c>
      <x:c r="I81" s="18" t="n">
        <x:v>0.908256880733945</x:v>
      </x:c>
      <x:c r="J81" s="18" t="n">
        <x:v>0.9274826886181489</x:v>
      </x:c>
      <x:c r="K81" s="18" t="n">
        <x:v>0.07059192218061347</x:v>
      </x:c>
      <x:c r="L81" s="18" t="n">
        <x:v>0.054760698465217326</x:v>
      </x:c>
      <x:c r="M81" s="11" t="str">
        <x:v>focal</x:v>
      </x:c>
      <x:c r="N81" s="2" t="str">
        <x:v>Entrenamiento</x:v>
      </x:c>
      <x:c r="O81" s="2" t="str">
        <x:v>thesis_completion_v1</x:v>
      </x:c>
    </x:row>
    <x:row r="82" ht="23" customHeight="1">
      <x:c r="A82" s="8" t="str">
        <x:v>A focal</x:v>
      </x:c>
      <x:c r="B82" s="8" t="str">
        <x:v>Binaria</x:v>
      </x:c>
      <x:c r="C82" s="19" t="n">
        <x:v>456</x:v>
      </x:c>
      <x:c r="D82" s="20" t="n">
        <x:v>0.9600424596254455</x:v>
      </x:c>
      <x:c r="E82" s="20" t="n">
        <x:v>0.8782608695652174</x:v>
      </x:c>
      <x:c r="F82" s="20" t="n">
        <x:v>0.8765638031693077</x:v>
      </x:c>
      <x:c r="G82" s="20" t="n">
        <x:v>0.8440366972477065</x:v>
      </x:c>
      <x:c r="H82" s="20" t="n">
        <x:v>0.8679245283018868</x:v>
      </x:c>
      <x:c r="I82" s="20" t="n">
        <x:v>0.8932038834951457</x:v>
      </x:c>
      <x:c r="J82" s="20" t="n">
        <x:v>0.9523044874602085</x:v>
      </x:c>
      <x:c r="K82" s="20" t="n">
        <x:v>0.08400424805468894</x:v>
      </x:c>
      <x:c r="L82" s="20" t="n">
        <x:v>0.06897917345095654</x:v>
      </x:c>
      <x:c r="M82" s="12" t="str">
        <x:v>focal</x:v>
      </x:c>
      <x:c r="N82" s="8" t="str">
        <x:v>Entrenamiento</x:v>
      </x:c>
      <x:c r="O82" s="8" t="str">
        <x:v>thesis_completion_v1</x:v>
      </x:c>
    </x:row>
    <x:row r="83" ht="23" customHeight="1">
      <x:c r="A83" s="2" t="str">
        <x:v>A focal</x:v>
      </x:c>
      <x:c r="B83" s="2" t="str">
        <x:v>Binaria</x:v>
      </x:c>
      <x:c r="C83" s="17" t="n">
        <x:v>789</x:v>
      </x:c>
      <x:c r="D83" s="18" t="n">
        <x:v>0.9322252580449302</x:v>
      </x:c>
      <x:c r="E83" s="18" t="n">
        <x:v>0.8652173913043478</x:v>
      </x:c>
      <x:c r="F83" s="18" t="n">
        <x:v>0.8702944748026715</x:v>
      </x:c>
      <x:c r="G83" s="18" t="n">
        <x:v>0.9537037037037037</x:v>
      </x:c>
      <x:c r="H83" s="18" t="n">
        <x:v>0.869198312236287</x:v>
      </x:c>
      <x:c r="I83" s="18" t="n">
        <x:v>0.7984496124031008</x:v>
      </x:c>
      <x:c r="J83" s="18" t="n">
        <x:v>0.8881861136074887</x:v>
      </x:c>
      <x:c r="K83" s="18" t="n">
        <x:v>0.09746210897808308</x:v>
      </x:c>
      <x:c r="L83" s="18" t="n">
        <x:v>0.05816828612826088</x:v>
      </x:c>
      <x:c r="M83" s="11" t="str">
        <x:v>focal</x:v>
      </x:c>
      <x:c r="N83" s="2" t="str">
        <x:v>Entrenamiento</x:v>
      </x:c>
      <x:c r="O83" s="2" t="str">
        <x:v>thesis_completion_v1</x:v>
      </x:c>
    </x:row>
    <x:row r="84" ht="23" customHeight="1">
      <x:c r="A84" s="8" t="str">
        <x:v>A focal</x:v>
      </x:c>
      <x:c r="B84" s="8" t="str">
        <x:v>Binaria</x:v>
      </x:c>
      <x:c r="C84" s="19" t="n">
        <x:v>2024</x:v>
      </x:c>
      <x:c r="D84" s="20" t="n">
        <x:v>0.9542800818864206</x:v>
      </x:c>
      <x:c r="E84" s="20" t="n">
        <x:v>0.8652173913043478</x:v>
      </x:c>
      <x:c r="F84" s="20" t="n">
        <x:v>0.8641671089544318</x:v>
      </x:c>
      <x:c r="G84" s="20" t="n">
        <x:v>0.8440366972477065</x:v>
      </x:c>
      <x:c r="H84" s="20" t="n">
        <x:v>0.8558139534883721</x:v>
      </x:c>
      <x:c r="I84" s="20" t="n">
        <x:v>0.8679245283018868</x:v>
      </x:c>
      <x:c r="J84" s="20" t="n">
        <x:v>0.9400580337036134</x:v>
      </x:c>
      <x:c r="K84" s="20" t="n">
        <x:v>0.09059614101148727</x:v>
      </x:c>
      <x:c r="L84" s="20" t="n">
        <x:v>0.0858053699422174</x:v>
      </x:c>
      <x:c r="M84" s="12" t="str">
        <x:v>focal</x:v>
      </x:c>
      <x:c r="N84" s="8" t="str">
        <x:v>Entrenamiento</x:v>
      </x:c>
      <x:c r="O84" s="8" t="str">
        <x:v>thesis_completion_v1</x:v>
      </x:c>
    </x:row>
    <x:row r="85" ht="23" customHeight="1">
      <x:c r="A85" s="2" t="str">
        <x:v>B BCE</x:v>
      </x:c>
      <x:c r="B85" s="2" t="str">
        <x:v>Binaria</x:v>
      </x:c>
      <x:c r="C85" s="17" t="n">
        <x:v>42</x:v>
      </x:c>
      <x:c r="D85" s="18" t="n">
        <x:v>0.9642531876138434</x:v>
      </x:c>
      <x:c r="E85" s="18" t="n">
        <x:v>0.8869565217391304</x:v>
      </x:c>
      <x:c r="F85" s="18" t="n">
        <x:v>0.8897237401335762</x:v>
      </x:c>
      <x:c r="G85" s="18" t="n">
        <x:v>0.9351851851851852</x:v>
      </x:c>
      <x:c r="H85" s="18" t="n">
        <x:v>0.8859649122807017</x:v>
      </x:c>
      <x:c r="I85" s="18" t="n">
        <x:v>0.8416666666666667</x:v>
      </x:c>
      <x:c r="J85" s="18" t="n">
        <x:v>0.9547400759955129</x:v>
      </x:c>
      <x:c r="K85" s="18" t="n">
        <x:v>0.07760196924526604</x:v>
      </x:c>
      <x:c r="L85" s="18" t="n">
        <x:v>0.05246527298308261</x:v>
      </x:c>
      <x:c r="M85" s="11" t="str">
        <x:v>bce</x:v>
      </x:c>
      <x:c r="N85" s="2" t="str">
        <x:v>Entrenamiento</x:v>
      </x:c>
      <x:c r="O85" s="2" t="str">
        <x:v>thesis_completion_v1</x:v>
      </x:c>
    </x:row>
    <x:row r="86" ht="23" customHeight="1">
      <x:c r="A86" s="8" t="str">
        <x:v>B BCE</x:v>
      </x:c>
      <x:c r="B86" s="8" t="str">
        <x:v>Binaria</x:v>
      </x:c>
      <x:c r="C86" s="19" t="n">
        <x:v>123</x:v>
      </x:c>
      <x:c r="D86" s="20" t="n">
        <x:v>0.9605732049435136</x:v>
      </x:c>
      <x:c r="E86" s="20" t="n">
        <x:v>0.9173913043478261</x:v>
      </x:c>
      <x:c r="F86" s="20" t="n">
        <x:v>0.9173932822806885</x:v>
      </x:c>
      <x:c r="G86" s="20" t="n">
        <x:v>0.9174311926605505</x:v>
      </x:c>
      <x:c r="H86" s="20" t="n">
        <x:v>0.91324200913242</x:v>
      </x:c>
      <x:c r="I86" s="20" t="n">
        <x:v>0.9090909090909091</x:v>
      </x:c>
      <x:c r="J86" s="20" t="n">
        <x:v>0.9266604043164303</x:v>
      </x:c>
      <x:c r="K86" s="20" t="n">
        <x:v>0.06809527347043588</x:v>
      </x:c>
      <x:c r="L86" s="20" t="n">
        <x:v>0.042871879256382604</x:v>
      </x:c>
      <x:c r="M86" s="12" t="str">
        <x:v>bce</x:v>
      </x:c>
      <x:c r="N86" s="8" t="str">
        <x:v>Entrenamiento</x:v>
      </x:c>
      <x:c r="O86" s="8" t="str">
        <x:v>thesis_completion_v1</x:v>
      </x:c>
    </x:row>
    <x:row r="87" ht="23" customHeight="1">
      <x:c r="A87" s="2" t="str">
        <x:v>B BCE</x:v>
      </x:c>
      <x:c r="B87" s="2" t="str">
        <x:v>Binaria</x:v>
      </x:c>
      <x:c r="C87" s="17" t="n">
        <x:v>456</x:v>
      </x:c>
      <x:c r="D87" s="18" t="n">
        <x:v>0.963606035332474</x:v>
      </x:c>
      <x:c r="E87" s="18" t="n">
        <x:v>0.8869565217391304</x:v>
      </x:c>
      <x:c r="F87" s="18" t="n">
        <x:v>0.8852831905375692</x:v>
      </x:c>
      <x:c r="G87" s="18" t="n">
        <x:v>0.8532110091743119</x:v>
      </x:c>
      <x:c r="H87" s="18" t="n">
        <x:v>0.8773584905660378</x:v>
      </x:c>
      <x:c r="I87" s="18" t="n">
        <x:v>0.9029126213592233</x:v>
      </x:c>
      <x:c r="J87" s="18" t="n">
        <x:v>0.9553171139305734</x:v>
      </x:c>
      <x:c r="K87" s="18" t="n">
        <x:v>0.08020115666388479</x:v>
      </x:c>
      <x:c r="L87" s="18" t="n">
        <x:v>0.0678862483316287</x:v>
      </x:c>
      <x:c r="M87" s="11" t="str">
        <x:v>bce</x:v>
      </x:c>
      <x:c r="N87" s="2" t="str">
        <x:v>Entrenamiento</x:v>
      </x:c>
      <x:c r="O87" s="2" t="str">
        <x:v>thesis_completion_v1</x:v>
      </x:c>
    </x:row>
    <x:row r="88" ht="23" customHeight="1">
      <x:c r="A88" s="8" t="str">
        <x:v>B BCE</x:v>
      </x:c>
      <x:c r="B88" s="8" t="str">
        <x:v>Binaria</x:v>
      </x:c>
      <x:c r="C88" s="19" t="n">
        <x:v>789</x:v>
      </x:c>
      <x:c r="D88" s="20" t="n">
        <x:v>0.9280510018214937</x:v>
      </x:c>
      <x:c r="E88" s="20" t="n">
        <x:v>0.8869565217391304</x:v>
      </x:c>
      <x:c r="F88" s="20" t="n">
        <x:v>0.8886612021857923</x:v>
      </x:c>
      <x:c r="G88" s="20" t="n">
        <x:v>0.9166666666666666</x:v>
      </x:c>
      <x:c r="H88" s="20" t="n">
        <x:v>0.8839285714285714</x:v>
      </x:c>
      <x:c r="I88" s="20" t="n">
        <x:v>0.853448275862069</x:v>
      </x:c>
      <x:c r="J88" s="20" t="n">
        <x:v>0.8615495078718165</x:v>
      </x:c>
      <x:c r="K88" s="20" t="n">
        <x:v>0.10793614683689169</x:v>
      </x:c>
      <x:c r="L88" s="20" t="n">
        <x:v>0.10416728083618823</x:v>
      </x:c>
      <x:c r="M88" s="12" t="str">
        <x:v>bce</x:v>
      </x:c>
      <x:c r="N88" s="8" t="str">
        <x:v>Entrenamiento</x:v>
      </x:c>
      <x:c r="O88" s="8" t="str">
        <x:v>thesis_completion_v1</x:v>
      </x:c>
    </x:row>
    <x:row r="89" ht="23" customHeight="1">
      <x:c r="A89" s="2" t="str">
        <x:v>B BCE</x:v>
      </x:c>
      <x:c r="B89" s="2" t="str">
        <x:v>Binaria</x:v>
      </x:c>
      <x:c r="C89" s="17" t="n">
        <x:v>2024</x:v>
      </x:c>
      <x:c r="D89" s="18" t="n">
        <x:v>0.9542042611266964</x:v>
      </x:c>
      <x:c r="E89" s="18" t="n">
        <x:v>0.8739130434782608</x:v>
      </x:c>
      <x:c r="F89" s="18" t="n">
        <x:v>0.8751611191144135</x:v>
      </x:c>
      <x:c r="G89" s="18" t="n">
        <x:v>0.8990825688073395</x:v>
      </x:c>
      <x:c r="H89" s="18" t="n">
        <x:v>0.8711111111111111</x:v>
      </x:c>
      <x:c r="I89" s="18" t="n">
        <x:v>0.8448275862068966</x:v>
      </x:c>
      <x:c r="J89" s="18" t="n">
        <x:v>0.9426173177429087</x:v>
      </x:c>
      <x:c r="K89" s="18" t="n">
        <x:v>0.08473896615455759</x:v>
      </x:c>
      <x:c r="L89" s="18" t="n">
        <x:v>0.062155015480897434</x:v>
      </x:c>
      <x:c r="M89" s="11" t="str">
        <x:v>bce</x:v>
      </x:c>
      <x:c r="N89" s="2" t="str">
        <x:v>Entrenamiento</x:v>
      </x:c>
      <x:c r="O89" s="2" t="str">
        <x:v>thesis_completion_v1</x:v>
      </x:c>
    </x:row>
    <x:row r="90" ht="23" customHeight="1">
      <x:c r="A90" s="8" t="str">
        <x:v>Metadata MLP focal</x:v>
      </x:c>
      <x:c r="B90" s="8" t="str">
        <x:v>Binaria</x:v>
      </x:c>
      <x:c r="C90" s="19" t="n">
        <x:v>42</x:v>
      </x:c>
      <x:c r="D90" s="20" t="n">
        <x:v>0.9524134790528234</x:v>
      </x:c>
      <x:c r="E90" s="20" t="n">
        <x:v>0.8869565217391304</x:v>
      </x:c>
      <x:c r="F90" s="20" t="n">
        <x:v>0.8849423193685488</x:v>
      </x:c>
      <x:c r="G90" s="20" t="n">
        <x:v>0.8518518518518519</x:v>
      </x:c>
      <x:c r="H90" s="20" t="n">
        <x:v>0.8761904761904762</x:v>
      </x:c>
      <x:c r="I90" s="20" t="n">
        <x:v>0.9019607843137255</x:v>
      </x:c>
      <x:c r="J90" s="20" t="n">
        <x:v>0.9302042480364187</x:v>
      </x:c>
      <x:c r="K90" s="20" t="n">
        <x:v>0.10714989862804829</x:v>
      </x:c>
      <x:c r="L90" s="20" t="n">
        <x:v>0.14010264128695651</x:v>
      </x:c>
      <x:c r="M90" s="12" t="str">
        <x:v>focal</x:v>
      </x:c>
      <x:c r="N90" s="8" t="str">
        <x:v>Entrenamiento</x:v>
      </x:c>
      <x:c r="O90" s="8" t="str">
        <x:v>thesis_completion_v1</x:v>
      </x:c>
    </x:row>
    <x:row r="91" ht="23" customHeight="1">
      <x:c r="A91" s="2" t="str">
        <x:v>Metadata MLP focal</x:v>
      </x:c>
      <x:c r="B91" s="2" t="str">
        <x:v>Binaria</x:v>
      </x:c>
      <x:c r="C91" s="17" t="n">
        <x:v>123</x:v>
      </x:c>
      <x:c r="D91" s="18" t="n">
        <x:v>0.9583744029115171</x:v>
      </x:c>
      <x:c r="E91" s="18" t="n">
        <x:v>0.8739130434782608</x:v>
      </x:c>
      <x:c r="F91" s="18" t="n">
        <x:v>0.8710667980893169</x:v>
      </x:c>
      <x:c r="G91" s="18" t="n">
        <x:v>0.8165137614678899</x:v>
      </x:c>
      <x:c r="H91" s="18" t="n">
        <x:v>0.8599033816425121</x:v>
      </x:c>
      <x:c r="I91" s="18" t="n">
        <x:v>0.9081632653061225</x:v>
      </x:c>
      <x:c r="J91" s="18" t="n">
        <x:v>0.9339002225654038</x:v>
      </x:c>
      <x:c r="K91" s="18" t="n">
        <x:v>0.12051732665567778</x:v>
      </x:c>
      <x:c r="L91" s="18" t="n">
        <x:v>0.21076863608260868</x:v>
      </x:c>
      <x:c r="M91" s="11" t="str">
        <x:v>focal</x:v>
      </x:c>
      <x:c r="N91" s="2" t="str">
        <x:v>Entrenamiento</x:v>
      </x:c>
      <x:c r="O91" s="2" t="str">
        <x:v>thesis_completion_v1</x:v>
      </x:c>
    </x:row>
    <x:row r="92" ht="23" customHeight="1">
      <x:c r="A92" s="8" t="str">
        <x:v>Metadata MLP focal</x:v>
      </x:c>
      <x:c r="B92" s="8" t="str">
        <x:v>Binaria</x:v>
      </x:c>
      <x:c r="C92" s="19" t="n">
        <x:v>456</x:v>
      </x:c>
      <x:c r="D92" s="20" t="n">
        <x:v>0.9244446129350217</x:v>
      </x:c>
      <x:c r="E92" s="20" t="n">
        <x:v>0.8173913043478261</x:v>
      </x:c>
      <x:c r="F92" s="20" t="n">
        <x:v>0.8127985442414133</x:v>
      </x:c>
      <x:c r="G92" s="20" t="n">
        <x:v>0.7247706422018348</x:v>
      </x:c>
      <x:c r="H92" s="20" t="n">
        <x:v>0.79</x:v>
      </x:c>
      <x:c r="I92" s="20" t="n">
        <x:v>0.8681318681318682</x:v>
      </x:c>
      <x:c r="J92" s="20" t="n">
        <x:v>0.9024288808753989</x:v>
      </x:c>
      <x:c r="K92" s="20" t="n">
        <x:v>0.1286194824543311</x:v>
      </x:c>
      <x:c r="L92" s="20" t="n">
        <x:v>0.11719704014130436</x:v>
      </x:c>
      <x:c r="M92" s="12" t="str">
        <x:v>focal</x:v>
      </x:c>
      <x:c r="N92" s="8" t="str">
        <x:v>Entrenamiento</x:v>
      </x:c>
      <x:c r="O92" s="8" t="str">
        <x:v>thesis_completion_v1</x:v>
      </x:c>
    </x:row>
    <x:row r="93" ht="23" customHeight="1">
      <x:c r="A93" s="2" t="str">
        <x:v>Metadata MLP focal</x:v>
      </x:c>
      <x:c r="B93" s="2" t="str">
        <x:v>Binaria</x:v>
      </x:c>
      <x:c r="C93" s="17" t="n">
        <x:v>789</x:v>
      </x:c>
      <x:c r="D93" s="18" t="n">
        <x:v>0.9275956284153006</x:v>
      </x:c>
      <x:c r="E93" s="18" t="n">
        <x:v>0.8478260869565217</x:v>
      </x:c>
      <x:c r="F93" s="18" t="n">
        <x:v>0.844869459623558</x:v>
      </x:c>
      <x:c r="G93" s="18" t="n">
        <x:v>0.7962962962962963</x:v>
      </x:c>
      <x:c r="H93" s="18" t="n">
        <x:v>0.8309178743961353</x:v>
      </x:c>
      <x:c r="I93" s="18" t="n">
        <x:v>0.8686868686868687</x:v>
      </x:c>
      <x:c r="J93" s="18" t="n">
        <x:v>0.8595215278300822</x:v>
      </x:c>
      <x:c r="K93" s="18" t="n">
        <x:v>0.12535599736013375</x:v>
      </x:c>
      <x:c r="L93" s="18" t="n">
        <x:v>0.15378708682173914</x:v>
      </x:c>
      <x:c r="M93" s="11" t="str">
        <x:v>focal</x:v>
      </x:c>
      <x:c r="N93" s="2" t="str">
        <x:v>Entrenamiento</x:v>
      </x:c>
      <x:c r="O93" s="2" t="str">
        <x:v>thesis_completion_v1</x:v>
      </x:c>
    </x:row>
    <x:row r="94" ht="23" customHeight="1">
      <x:c r="A94" s="8" t="str">
        <x:v>Metadata MLP focal</x:v>
      </x:c>
      <x:c r="B94" s="8" t="str">
        <x:v>Binaria</x:v>
      </x:c>
      <x:c r="C94" s="19" t="n">
        <x:v>2024</x:v>
      </x:c>
      <x:c r="D94" s="20" t="n">
        <x:v>0.9586776859504132</x:v>
      </x:c>
      <x:c r="E94" s="20" t="n">
        <x:v>0.8478260869565217</x:v>
      </x:c>
      <x:c r="F94" s="20" t="n">
        <x:v>0.8449086359845326</x:v>
      </x:c>
      <x:c r="G94" s="20" t="n">
        <x:v>0.7889908256880734</x:v>
      </x:c>
      <x:c r="H94" s="20" t="n">
        <x:v>0.8309178743961353</x:v>
      </x:c>
      <x:c r="I94" s="20" t="n">
        <x:v>0.8775510204081632</x:v>
      </x:c>
      <x:c r="J94" s="20" t="n">
        <x:v>0.9550706430011163</x:v>
      </x:c>
      <x:c r="K94" s="20" t="n">
        <x:v>0.11488374774332749</x:v>
      </x:c>
      <x:c r="L94" s="20" t="n">
        <x:v>0.1551847534434783</x:v>
      </x:c>
      <x:c r="M94" s="12" t="str">
        <x:v>focal</x:v>
      </x:c>
      <x:c r="N94" s="8" t="str">
        <x:v>Entrenamiento</x:v>
      </x:c>
      <x:c r="O94" s="8" t="str">
        <x:v>thesis_completion_v1</x:v>
      </x:c>
    </x:row>
    <x:row r="95" ht="23" customHeight="1">
      <x:c r="A95" s="2" t="str">
        <x:v>B solo metadata, misma capacidad</x:v>
      </x:c>
      <x:c r="B95" s="2" t="str">
        <x:v>Binaria</x:v>
      </x:c>
      <x:c r="C95" s="17" t="n">
        <x:v>42</x:v>
      </x:c>
      <x:c r="D95" s="18" t="n">
        <x:v>0.9608378870673953</x:v>
      </x:c>
      <x:c r="E95" s="18" t="n">
        <x:v>0.8695652173913043</x:v>
      </x:c>
      <x:c r="F95" s="18" t="n">
        <x:v>0.8706739526411658</x:v>
      </x:c>
      <x:c r="G95" s="18" t="n">
        <x:v>0.8888888888888888</x:v>
      </x:c>
      <x:c r="H95" s="18" t="n">
        <x:v>0.8648648648648649</x:v>
      </x:c>
      <x:c r="I95" s="18" t="n">
        <x:v>0.8421052631578947</x:v>
      </x:c>
      <x:c r="J95" s="18" t="n">
        <x:v>0.9413098488441566</x:v>
      </x:c>
      <x:c r="K95" s="18" t="n">
        <x:v>0.11198922660846478</x:v>
      </x:c>
      <x:c r="L95" s="18" t="n">
        <x:v>0.16424999519999997</x:v>
      </x:c>
      <x:c r="M95" s="11" t="str">
        <x:v>focal</x:v>
      </x:c>
      <x:c r="N95" s="2" t="str">
        <x:v>Entrenamiento</x:v>
      </x:c>
      <x:c r="O95" s="2" t="str">
        <x:v>thesis_completion_v1</x:v>
      </x:c>
    </x:row>
    <x:row r="96" ht="23" customHeight="1">
      <x:c r="A96" s="8" t="str">
        <x:v>B solo metadata, misma capacidad</x:v>
      </x:c>
      <x:c r="B96" s="8" t="str">
        <x:v>Binaria</x:v>
      </x:c>
      <x:c r="C96" s="19" t="n">
        <x:v>123</x:v>
      </x:c>
      <x:c r="D96" s="20" t="n">
        <x:v>0.956630525437865</x:v>
      </x:c>
      <x:c r="E96" s="20" t="n">
        <x:v>0.8826086956521739</x:v>
      </x:c>
      <x:c r="F96" s="20" t="n">
        <x:v>0.8806960345742665</x:v>
      </x:c>
      <x:c r="G96" s="20" t="n">
        <x:v>0.8440366972477065</x:v>
      </x:c>
      <x:c r="H96" s="20" t="n">
        <x:v>0.8720379146919431</x:v>
      </x:c>
      <x:c r="I96" s="20" t="n">
        <x:v>0.9019607843137255</x:v>
      </x:c>
      <x:c r="J96" s="20" t="n">
        <x:v>0.929957325060393</x:v>
      </x:c>
      <x:c r="K96" s="20" t="n">
        <x:v>0.10926142949453098</x:v>
      </x:c>
      <x:c r="L96" s="20" t="n">
        <x:v>0.17266258259565218</x:v>
      </x:c>
      <x:c r="M96" s="12" t="str">
        <x:v>focal</x:v>
      </x:c>
      <x:c r="N96" s="8" t="str">
        <x:v>Entrenamiento</x:v>
      </x:c>
      <x:c r="O96" s="8" t="str">
        <x:v>thesis_completion_v1</x:v>
      </x:c>
    </x:row>
    <x:row r="97" ht="23" customHeight="1">
      <x:c r="A97" s="2" t="str">
        <x:v>B solo metadata, misma capacidad</x:v>
      </x:c>
      <x:c r="B97" s="2" t="str">
        <x:v>Binaria</x:v>
      </x:c>
      <x:c r="C97" s="17" t="n">
        <x:v>456</x:v>
      </x:c>
      <x:c r="D97" s="18" t="n">
        <x:v>0.9288422169990144</x:v>
      </x:c>
      <x:c r="E97" s="18" t="n">
        <x:v>0.8260869565217391</x:v>
      </x:c>
      <x:c r="F97" s="18" t="n">
        <x:v>0.8224277807263629</x:v>
      </x:c>
      <x:c r="G97" s="18" t="n">
        <x:v>0.7522935779816514</x:v>
      </x:c>
      <x:c r="H97" s="18" t="n">
        <x:v>0.803921568627451</x:v>
      </x:c>
      <x:c r="I97" s="18" t="n">
        <x:v>0.8631578947368421</x:v>
      </x:c>
      <x:c r="J97" s="18" t="n">
        <x:v>0.9149837756939491</x:v>
      </x:c>
      <x:c r="K97" s="18" t="n">
        <x:v>0.12653152030279247</x:v>
      </x:c>
      <x:c r="L97" s="18" t="n">
        <x:v>0.1324632081673913</x:v>
      </x:c>
      <x:c r="M97" s="11" t="str">
        <x:v>focal</x:v>
      </x:c>
      <x:c r="N97" s="2" t="str">
        <x:v>Entrenamiento</x:v>
      </x:c>
      <x:c r="O97" s="2" t="str">
        <x:v>thesis_completion_v1</x:v>
      </x:c>
    </x:row>
    <x:row r="98" ht="23" customHeight="1">
      <x:c r="A98" s="8" t="str">
        <x:v>B solo metadata, misma capacidad</x:v>
      </x:c>
      <x:c r="B98" s="8" t="str">
        <x:v>Binaria</x:v>
      </x:c>
      <x:c r="C98" s="19" t="n">
        <x:v>789</x:v>
      </x:c>
      <x:c r="D98" s="20" t="n">
        <x:v>0.9315421979356406</x:v>
      </x:c>
      <x:c r="E98" s="20" t="n">
        <x:v>0.8608695652173913</x:v>
      </x:c>
      <x:c r="F98" s="20" t="n">
        <x:v>0.8614146933819065</x:v>
      </x:c>
      <x:c r="G98" s="20" t="n">
        <x:v>0.8703703703703703</x:v>
      </x:c>
      <x:c r="H98" s="20" t="n">
        <x:v>0.8545454545454545</x:v>
      </x:c>
      <x:c r="I98" s="20" t="n">
        <x:v>0.8392857142857143</x:v>
      </x:c>
      <x:c r="J98" s="20" t="n">
        <x:v>0.8664713689118294</x:v>
      </x:c>
      <x:c r="K98" s="20" t="n">
        <x:v>0.1159669865784169</x:v>
      </x:c>
      <x:c r="L98" s="20" t="n">
        <x:v>0.12084482539130434</x:v>
      </x:c>
      <x:c r="M98" s="12" t="str">
        <x:v>focal</x:v>
      </x:c>
      <x:c r="N98" s="8" t="str">
        <x:v>Entrenamiento</x:v>
      </x:c>
      <x:c r="O98" s="8" t="str">
        <x:v>thesis_completion_v1</x:v>
      </x:c>
    </x:row>
    <x:row r="99" ht="23" customHeight="1">
      <x:c r="A99" s="2" t="str">
        <x:v>B solo metadata, misma capacidad</x:v>
      </x:c>
      <x:c r="B99" s="2" t="str">
        <x:v>Binaria</x:v>
      </x:c>
      <x:c r="C99" s="17" t="n">
        <x:v>2024</x:v>
      </x:c>
      <x:c r="D99" s="18" t="n">
        <x:v>0.9563272423989688</x:v>
      </x:c>
      <x:c r="E99" s="18" t="n">
        <x:v>0.8652173913043478</x:v>
      </x:c>
      <x:c r="F99" s="18" t="n">
        <x:v>0.8609826370460232</x:v>
      </x:c>
      <x:c r="G99" s="18" t="n">
        <x:v>0.7798165137614679</x:v>
      </x:c>
      <x:c r="H99" s="18" t="n">
        <x:v>0.845771144278607</x:v>
      </x:c>
      <x:c r="I99" s="18" t="n">
        <x:v>0.9239130434782609</x:v>
      </x:c>
      <x:c r="J99" s="18" t="n">
        <x:v>0.9508715380431385</x:v>
      </x:c>
      <x:c r="K99" s="18" t="n">
        <x:v>0.12332954646447127</x:v>
      </x:c>
      <x:c r="L99" s="18" t="n">
        <x:v>0.17552009320000003</x:v>
      </x:c>
      <x:c r="M99" s="11" t="str">
        <x:v>focal</x:v>
      </x:c>
      <x:c r="N99" s="2" t="str">
        <x:v>Entrenamiento</x:v>
      </x:c>
      <x:c r="O99" s="2" t="str">
        <x:v>thesis_completion_v1</x:v>
      </x:c>
    </x:row>
    <x:row r="100" ht="23" customHeight="1">
      <x:c r="A100" s="8" t="str">
        <x:v>B solo imágenes, misma capacidad</x:v>
      </x:c>
      <x:c r="B100" s="8" t="str">
        <x:v>Binaria</x:v>
      </x:c>
      <x:c r="C100" s="19" t="n">
        <x:v>42</x:v>
      </x:c>
      <x:c r="D100" s="20" t="n">
        <x:v>0.8882058287795993</x:v>
      </x:c>
      <x:c r="E100" s="20" t="n">
        <x:v>0.8043478260869565</x:v>
      </x:c>
      <x:c r="F100" s="20" t="n">
        <x:v>0.8001669702489375</x:v>
      </x:c>
      <x:c r="G100" s="20" t="n">
        <x:v>0.7314814814814815</x:v>
      </x:c>
      <x:c r="H100" s="20" t="n">
        <x:v>0.7783251231527094</x:v>
      </x:c>
      <x:c r="I100" s="20" t="n">
        <x:v>0.8315789473684211</x:v>
      </x:c>
      <x:c r="J100" s="20" t="n">
        <x:v>0.8867525935580053</x:v>
      </x:c>
      <x:c r="K100" s="20" t="n">
        <x:v>0.15533041318873622</x:v>
      </x:c>
      <x:c r="L100" s="20" t="n">
        <x:v>0.12532662262173913</x:v>
      </x:c>
      <x:c r="M100" s="12" t="str">
        <x:v>focal</x:v>
      </x:c>
      <x:c r="N100" s="8" t="str">
        <x:v>Entrenamiento</x:v>
      </x:c>
      <x:c r="O100" s="8" t="str">
        <x:v>thesis_completion_v1</x:v>
      </x:c>
    </x:row>
    <x:row r="101" ht="23" customHeight="1">
      <x:c r="A101" s="2" t="str">
        <x:v>B solo imágenes, misma capacidad</x:v>
      </x:c>
      <x:c r="B101" s="2" t="str">
        <x:v>Binaria</x:v>
      </x:c>
      <x:c r="C101" s="17" t="n">
        <x:v>123</x:v>
      </x:c>
      <x:c r="D101" s="18" t="n">
        <x:v>0.9109864280840094</x:v>
      </x:c>
      <x:c r="E101" s="18" t="n">
        <x:v>0.691304347826087</x:v>
      </x:c>
      <x:c r="F101" s="18" t="n">
        <x:v>0.676586549397225</x:v>
      </x:c>
      <x:c r="G101" s="18" t="n">
        <x:v>0.3944954128440367</x:v>
      </x:c>
      <x:c r="H101" s="18" t="n">
        <x:v>0.5477707006369427</x:v>
      </x:c>
      <x:c r="I101" s="18" t="n">
        <x:v>0.8958333333333334</x:v>
      </x:c>
      <x:c r="J101" s="18" t="n">
        <x:v>0.8602537572417723</x:v>
      </x:c>
      <x:c r="K101" s="18" t="n">
        <x:v>0.17419751715342008</x:v>
      </x:c>
      <x:c r="L101" s="18" t="n">
        <x:v>0.2079368989869565</x:v>
      </x:c>
      <x:c r="M101" s="11" t="str">
        <x:v>focal</x:v>
      </x:c>
      <x:c r="N101" s="2" t="str">
        <x:v>Entrenamiento</x:v>
      </x:c>
      <x:c r="O101" s="2" t="str">
        <x:v>thesis_completion_v1</x:v>
      </x:c>
    </x:row>
    <x:row r="102" ht="23" customHeight="1">
      <x:c r="A102" s="8" t="str">
        <x:v>B solo imágenes, misma capacidad</x:v>
      </x:c>
      <x:c r="B102" s="8" t="str">
        <x:v>Binaria</x:v>
      </x:c>
      <x:c r="C102" s="19" t="n">
        <x:v>456</x:v>
      </x:c>
      <x:c r="D102" s="20" t="n">
        <x:v>0.9255440139510197</x:v>
      </x:c>
      <x:c r="E102" s="20" t="n">
        <x:v>0.8260869565217391</x:v>
      </x:c>
      <x:c r="F102" s="20" t="n">
        <x:v>0.8206080824929867</x:v>
      </x:c>
      <x:c r="G102" s="20" t="n">
        <x:v>0.7155963302752294</x:v>
      </x:c>
      <x:c r="H102" s="20" t="n">
        <x:v>0.7959183673469388</x:v>
      </x:c>
      <x:c r="I102" s="20" t="n">
        <x:v>0.896551724137931</x:v>
      </x:c>
      <x:c r="J102" s="20" t="n">
        <x:v>0.9121738171184931</x:v>
      </x:c>
      <x:c r="K102" s="20" t="n">
        <x:v>0.12707063805542468</x:v>
      </x:c>
      <x:c r="L102" s="20" t="n">
        <x:v>0.1257581962043478</x:v>
      </x:c>
      <x:c r="M102" s="12" t="str">
        <x:v>focal</x:v>
      </x:c>
      <x:c r="N102" s="8" t="str">
        <x:v>Entrenamiento</x:v>
      </x:c>
      <x:c r="O102" s="8" t="str">
        <x:v>thesis_completion_v1</x:v>
      </x:c>
    </x:row>
    <x:row r="103" ht="23" customHeight="1">
      <x:c r="A103" s="2" t="str">
        <x:v>B solo imágenes, misma capacidad</x:v>
      </x:c>
      <x:c r="B103" s="2" t="str">
        <x:v>Binaria</x:v>
      </x:c>
      <x:c r="C103" s="17" t="n">
        <x:v>789</x:v>
      </x:c>
      <x:c r="D103" s="18" t="n">
        <x:v>0.8835382513661203</x:v>
      </x:c>
      <x:c r="E103" s="18" t="n">
        <x:v>0.8</x:v>
      </x:c>
      <x:c r="F103" s="18" t="n">
        <x:v>0.7965998785670916</x:v>
      </x:c>
      <x:c r="G103" s="18" t="n">
        <x:v>0.7407407407407407</x:v>
      </x:c>
      <x:c r="H103" s="18" t="n">
        <x:v>0.7766990291262136</x:v>
      </x:c>
      <x:c r="I103" s="18" t="n">
        <x:v>0.8163265306122449</x:v>
      </x:c>
      <x:c r="J103" s="18" t="n">
        <x:v>0.8451894631911893</x:v>
      </x:c>
      <x:c r="K103" s="18" t="n">
        <x:v>0.1484980049057189</x:v>
      </x:c>
      <x:c r="L103" s="18" t="n">
        <x:v>0.11166304335652172</x:v>
      </x:c>
      <x:c r="M103" s="11" t="str">
        <x:v>focal</x:v>
      </x:c>
      <x:c r="N103" s="2" t="str">
        <x:v>Entrenamiento</x:v>
      </x:c>
      <x:c r="O103" s="2" t="str">
        <x:v>thesis_completion_v1</x:v>
      </x:c>
    </x:row>
    <x:row r="104" ht="23" customHeight="1">
      <x:c r="A104" s="8" t="str">
        <x:v>B solo imágenes, misma capacidad</x:v>
      </x:c>
      <x:c r="B104" s="8" t="str">
        <x:v>Binaria</x:v>
      </x:c>
      <x:c r="C104" s="19" t="n">
        <x:v>2024</x:v>
      </x:c>
      <x:c r="D104" s="20" t="n">
        <x:v>0.9337326560012131</x:v>
      </x:c>
      <x:c r="E104" s="20" t="n">
        <x:v>0.808695652173913</x:v>
      </x:c>
      <x:c r="F104" s="20" t="n">
        <x:v>0.7999848358480552</x:v>
      </x:c>
      <x:c r="G104" s="20" t="n">
        <x:v>0.6330275229357798</x:v>
      </x:c>
      <x:c r="H104" s="20" t="n">
        <x:v>0.7582417582417582</x:v>
      </x:c>
      <x:c r="I104" s="20" t="n">
        <x:v>0.9452054794520548</x:v>
      </x:c>
      <x:c r="J104" s="20" t="n">
        <x:v>0.9290949705263138</x:v>
      </x:c>
      <x:c r="K104" s="20" t="n">
        <x:v>0.14877324999584599</x:v>
      </x:c>
      <x:c r="L104" s="20" t="n">
        <x:v>0.17099753343043475</x:v>
      </x:c>
      <x:c r="M104" s="12" t="str">
        <x:v>focal</x:v>
      </x:c>
      <x:c r="N104" s="8" t="str">
        <x:v>Entrenamiento</x:v>
      </x:c>
      <x:c r="O104" s="8" t="str">
        <x:v>thesis_completion_v1</x:v>
      </x:c>
    </x:row>
    <x:row r="105" ht="23" customHeight="1">
      <x:c r="A105" s="2" t="str">
        <x:v>Metadata MLP</x:v>
      </x:c>
      <x:c r="B105" s="2" t="str">
        <x:v>Multiclase</x:v>
      </x:c>
      <x:c r="C105" s="17" t="n">
        <x:v>42</x:v>
      </x:c>
      <x:c r="D105" s="18" t="n">
        <x:v>0.8948065421654636</x:v>
      </x:c>
      <x:c r="E105" s="18" t="n">
        <x:v>0.6304347826086957</x:v>
      </x:c>
      <x:c r="F105" s="18" t="n">
        <x:v>0.51582838374475</x:v>
      </x:c>
      <x:c r="G105" s="18" t="n">
        <x:v>0.51582838374475</x:v>
      </x:c>
      <x:c r="H105" s="18" t="n">
        <x:v>0.49370323948130096</x:v>
      </x:c>
      <x:c r="I105" s="18" t="n">
        <x:v>0.514186423150968</x:v>
      </x:c>
      <x:c r="J105" s="18" t="n">
        <x:v>0.5825945516688065</x:v>
      </x:c>
      <x:c r="K105" s="18" t="n">
        <x:v>0.5088515195833084</x:v>
      </x:c>
      <x:c r="L105" s="18" t="n">
        <x:v>0.10267067078260862</x:v>
      </x:c>
      <x:c r="M105" s="11" t="str">
        <x:v>focal</x:v>
      </x:c>
      <x:c r="N105" s="2" t="str">
        <x:v>Entrenamiento</x:v>
      </x:c>
      <x:c r="O105" s="2" t="str">
        <x:v>metadata_only_v1</x:v>
      </x:c>
    </x:row>
    <x:row r="106" ht="23" customHeight="1">
      <x:c r="A106" s="8" t="str">
        <x:v>Metadata MLP</x:v>
      </x:c>
      <x:c r="B106" s="8" t="str">
        <x:v>Multiclase</x:v>
      </x:c>
      <x:c r="C106" s="19" t="n">
        <x:v>123</x:v>
      </x:c>
      <x:c r="D106" s="20" t="n">
        <x:v>0.9109457910644103</x:v>
      </x:c>
      <x:c r="E106" s="20" t="n">
        <x:v>0.7</x:v>
      </x:c>
      <x:c r="F106" s="20" t="n">
        <x:v>0.6781929535970161</x:v>
      </x:c>
      <x:c r="G106" s="20" t="n">
        <x:v>0.6781929535970161</x:v>
      </x:c>
      <x:c r="H106" s="20" t="n">
        <x:v>0.6430256568847666</x:v>
      </x:c>
      <x:c r="I106" s="20" t="n">
        <x:v>0.6343465194935783</x:v>
      </x:c>
      <x:c r="J106" s="20" t="n">
        <x:v>0.6918645827696177</x:v>
      </x:c>
      <x:c r="K106" s="20" t="n">
        <x:v>0.46282143958226485</x:v>
      </x:c>
      <x:c r="L106" s="20" t="n">
        <x:v>0.13792525273913042</x:v>
      </x:c>
      <x:c r="M106" s="12" t="str">
        <x:v>focal</x:v>
      </x:c>
      <x:c r="N106" s="8" t="str">
        <x:v>Entrenamiento</x:v>
      </x:c>
      <x:c r="O106" s="8" t="str">
        <x:v>metadata_only_v1</x:v>
      </x:c>
    </x:row>
    <x:row r="107" ht="23" customHeight="1">
      <x:c r="A107" s="2" t="str">
        <x:v>Metadata MLP</x:v>
      </x:c>
      <x:c r="B107" s="2" t="str">
        <x:v>Multiclase</x:v>
      </x:c>
      <x:c r="C107" s="17" t="n">
        <x:v>456</x:v>
      </x:c>
      <x:c r="D107" s="18" t="n">
        <x:v>0.8953555752133647</x:v>
      </x:c>
      <x:c r="E107" s="18" t="n">
        <x:v>0.6173913043478261</x:v>
      </x:c>
      <x:c r="F107" s="18" t="n">
        <x:v>0.590579423309819</x:v>
      </x:c>
      <x:c r="G107" s="18" t="n">
        <x:v>0.590579423309819</x:v>
      </x:c>
      <x:c r="H107" s="18" t="n">
        <x:v>0.5356386379893586</x:v>
      </x:c>
      <x:c r="I107" s="18" t="n">
        <x:v>0.5412140992346259</x:v>
      </x:c>
      <x:c r="J107" s="18" t="n">
        <x:v>0.6390597049441794</x:v>
      </x:c>
      <x:c r="K107" s="18" t="n">
        <x:v>0.5265202549157837</x:v>
      </x:c>
      <x:c r="L107" s="18" t="n">
        <x:v>0.12118053626086955</x:v>
      </x:c>
      <x:c r="M107" s="11" t="str">
        <x:v>focal</x:v>
      </x:c>
      <x:c r="N107" s="2" t="str">
        <x:v>Entrenamiento</x:v>
      </x:c>
      <x:c r="O107" s="2" t="str">
        <x:v>metadata_only_v1</x:v>
      </x:c>
    </x:row>
    <x:row r="108" ht="23" customHeight="1">
      <x:c r="A108" s="8" t="str">
        <x:v>Metadata MLP</x:v>
      </x:c>
      <x:c r="B108" s="8" t="str">
        <x:v>Multiclase</x:v>
      </x:c>
      <x:c r="C108" s="19" t="n">
        <x:v>789</x:v>
      </x:c>
      <x:c r="D108" s="20" t="n">
        <x:v>0.9172181642862635</x:v>
      </x:c>
      <x:c r="E108" s="20" t="n">
        <x:v>0.6217391304347826</x:v>
      </x:c>
      <x:c r="F108" s="20" t="n">
        <x:v>0.5976463704924412</x:v>
      </x:c>
      <x:c r="G108" s="20" t="n">
        <x:v>0.5976463704924412</x:v>
      </x:c>
      <x:c r="H108" s="20" t="n">
        <x:v>0.5610848087411445</x:v>
      </x:c>
      <x:c r="I108" s="20" t="n">
        <x:v>0.6080671756404933</x:v>
      </x:c>
      <x:c r="J108" s="20" t="n">
        <x:v>0.7097039668171735</x:v>
      </x:c>
      <x:c r="K108" s="20" t="n">
        <x:v>0.4794341086691</x:v>
      </x:c>
      <x:c r="L108" s="20" t="n">
        <x:v>0.059598387000000044</x:v>
      </x:c>
      <x:c r="M108" s="12" t="str">
        <x:v>focal</x:v>
      </x:c>
      <x:c r="N108" s="8" t="str">
        <x:v>Entrenamiento</x:v>
      </x:c>
      <x:c r="O108" s="8" t="str">
        <x:v>metadata_only_v1</x:v>
      </x:c>
    </x:row>
    <x:row r="109" ht="23" customHeight="1">
      <x:c r="A109" s="2" t="str">
        <x:v>Metadata MLP</x:v>
      </x:c>
      <x:c r="B109" s="2" t="str">
        <x:v>Multiclase</x:v>
      </x:c>
      <x:c r="C109" s="17" t="n">
        <x:v>2024</x:v>
      </x:c>
      <x:c r="D109" s="18" t="n">
        <x:v>0.9244773893735495</x:v>
      </x:c>
      <x:c r="E109" s="18" t="n">
        <x:v>0.7043478260869566</x:v>
      </x:c>
      <x:c r="F109" s="18" t="n">
        <x:v>0.6142098932297285</x:v>
      </x:c>
      <x:c r="G109" s="18" t="n">
        <x:v>0.6142098932297285</x:v>
      </x:c>
      <x:c r="H109" s="18" t="n">
        <x:v>0.582452216001568</x:v>
      </x:c>
      <x:c r="I109" s="18" t="n">
        <x:v>0.5795121008537097</x:v>
      </x:c>
      <x:c r="J109" s="18" t="n">
        <x:v>0.6142243151382957</x:v>
      </x:c>
      <x:c r="K109" s="18" t="n">
        <x:v>0.46070426087371485</x:v>
      </x:c>
      <x:c r="L109" s="18" t="n">
        <x:v>0.16135371760869563</x:v>
      </x:c>
      <x:c r="M109" s="11" t="str">
        <x:v>focal</x:v>
      </x:c>
      <x:c r="N109" s="2" t="str">
        <x:v>Entrenamiento</x:v>
      </x:c>
      <x:c r="O109" s="2" t="str">
        <x:v>metadata_only_v1</x:v>
      </x:c>
    </x:row>
    <x:row r="110" ht="23" customHeight="1">
      <x:c r="A110" s="8" t="str">
        <x:v>Metadata logística</x:v>
      </x:c>
      <x:c r="B110" s="8" t="str">
        <x:v>Multiclase</x:v>
      </x:c>
      <x:c r="C110" s="19" t="n">
        <x:v>42</x:v>
      </x:c>
      <x:c r="D110" s="20" t="n">
        <x:v>0.8847859811053075</x:v>
      </x:c>
      <x:c r="E110" s="20" t="n">
        <x:v>0.7</x:v>
      </x:c>
      <x:c r="F110" s="20" t="n">
        <x:v>0.6302076824481295</x:v>
      </x:c>
      <x:c r="G110" s="20" t="n">
        <x:v>0.6302076824481295</x:v>
      </x:c>
      <x:c r="H110" s="20" t="n">
        <x:v>0.5770098317419623</x:v>
      </x:c>
      <x:c r="I110" s="20" t="n">
        <x:v>0.573289241622575</x:v>
      </x:c>
      <x:c r="J110" s="20" t="n">
        <x:v>0.5915499059620138</x:v>
      </x:c>
      <x:c r="K110" s="20" t="n">
        <x:v>0.4930539544938211</x:v>
      </x:c>
      <x:c r="L110" s="20" t="n">
        <x:v>0.13608167454878886</x:v>
      </x:c>
      <x:c r="M110" s="12" t="str">
        <x:v>log_loss</x:v>
      </x:c>
      <x:c r="N110" s="8" t="str">
        <x:v>Entrenamiento</x:v>
      </x:c>
      <x:c r="O110" s="8" t="str">
        <x:v>thesis_completion_v1</x:v>
      </x:c>
    </x:row>
    <x:row r="111" ht="23" customHeight="1">
      <x:c r="A111" s="2" t="str">
        <x:v>Metadata logística</x:v>
      </x:c>
      <x:c r="B111" s="2" t="str">
        <x:v>Multiclase</x:v>
      </x:c>
      <x:c r="C111" s="17" t="n">
        <x:v>123</x:v>
      </x:c>
      <x:c r="D111" s="18" t="n">
        <x:v>0.8983825947109109</x:v>
      </x:c>
      <x:c r="E111" s="18" t="n">
        <x:v>0.6869565217391305</x:v>
      </x:c>
      <x:c r="F111" s="18" t="n">
        <x:v>0.6033158636117791</x:v>
      </x:c>
      <x:c r="G111" s="18" t="n">
        <x:v>0.6033158636117791</x:v>
      </x:c>
      <x:c r="H111" s="18" t="n">
        <x:v>0.5893324119204236</x:v>
      </x:c>
      <x:c r="I111" s="18" t="n">
        <x:v>0.5851719868890559</x:v>
      </x:c>
      <x:c r="J111" s="18" t="n">
        <x:v>0.6839781531595968</x:v>
      </x:c>
      <x:c r="K111" s="18" t="n">
        <x:v>0.43384892087174554</x:v>
      </x:c>
      <x:c r="L111" s="18" t="n">
        <x:v>0.03013073893064656</x:v>
      </x:c>
      <x:c r="M111" s="11" t="str">
        <x:v>log_loss</x:v>
      </x:c>
      <x:c r="N111" s="2" t="str">
        <x:v>Entrenamiento</x:v>
      </x:c>
      <x:c r="O111" s="2" t="str">
        <x:v>thesis_completion_v1</x:v>
      </x:c>
    </x:row>
    <x:row r="112" ht="23" customHeight="1">
      <x:c r="A112" s="8" t="str">
        <x:v>Metadata logística</x:v>
      </x:c>
      <x:c r="B112" s="8" t="str">
        <x:v>Multiclase</x:v>
      </x:c>
      <x:c r="C112" s="19" t="n">
        <x:v>456</x:v>
      </x:c>
      <x:c r="D112" s="20" t="n">
        <x:v>0.9072825167312867</x:v>
      </x:c>
      <x:c r="E112" s="20" t="n">
        <x:v>0.691304347826087</x:v>
      </x:c>
      <x:c r="F112" s="20" t="n">
        <x:v>0.6617040940384805</x:v>
      </x:c>
      <x:c r="G112" s="20" t="n">
        <x:v>0.6617040940384805</x:v>
      </x:c>
      <x:c r="H112" s="20" t="n">
        <x:v>0.6129557529976817</x:v>
      </x:c>
      <x:c r="I112" s="20" t="n">
        <x:v>0.5884967235695098</x:v>
      </x:c>
      <x:c r="J112" s="20" t="n">
        <x:v>0.6546110005564548</x:v>
      </x:c>
      <x:c r="K112" s="20" t="n">
        <x:v>0.44029035194435623</x:v>
      </x:c>
      <x:c r="L112" s="20" t="n">
        <x:v>0.05682407362094477</x:v>
      </x:c>
      <x:c r="M112" s="12" t="str">
        <x:v>log_loss</x:v>
      </x:c>
      <x:c r="N112" s="8" t="str">
        <x:v>Entrenamiento</x:v>
      </x:c>
      <x:c r="O112" s="8" t="str">
        <x:v>thesis_completion_v1</x:v>
      </x:c>
    </x:row>
    <x:row r="113" ht="23" customHeight="1">
      <x:c r="A113" s="2" t="str">
        <x:v>Metadata logística</x:v>
      </x:c>
      <x:c r="B113" s="2" t="str">
        <x:v>Multiclase</x:v>
      </x:c>
      <x:c r="C113" s="17" t="n">
        <x:v>789</x:v>
      </x:c>
      <x:c r="D113" s="18" t="n">
        <x:v>0.8973131865397619</x:v>
      </x:c>
      <x:c r="E113" s="18" t="n">
        <x:v>0.6217391304347826</x:v>
      </x:c>
      <x:c r="F113" s="18" t="n">
        <x:v>0.6922044265915931</x:v>
      </x:c>
      <x:c r="G113" s="18" t="n">
        <x:v>0.6922044265915931</x:v>
      </x:c>
      <x:c r="H113" s="18" t="n">
        <x:v>0.5804604999829751</x:v>
      </x:c>
      <x:c r="I113" s="18" t="n">
        <x:v>0.5856238234057783</x:v>
      </x:c>
      <x:c r="J113" s="18" t="n">
        <x:v>0.6748335904321942</x:v>
      </x:c>
      <x:c r="K113" s="18" t="n">
        <x:v>0.5199391714803672</x:v>
      </x:c>
      <x:c r="L113" s="18" t="n">
        <x:v>0.10340515047541865</x:v>
      </x:c>
      <x:c r="M113" s="11" t="str">
        <x:v>log_loss</x:v>
      </x:c>
      <x:c r="N113" s="2" t="str">
        <x:v>Entrenamiento</x:v>
      </x:c>
      <x:c r="O113" s="2" t="str">
        <x:v>thesis_completion_v1</x:v>
      </x:c>
    </x:row>
    <x:row r="114" ht="23" customHeight="1">
      <x:c r="A114" s="8" t="str">
        <x:v>Metadata logística</x:v>
      </x:c>
      <x:c r="B114" s="8" t="str">
        <x:v>Multiclase</x:v>
      </x:c>
      <x:c r="C114" s="19" t="n">
        <x:v>2024</x:v>
      </x:c>
      <x:c r="D114" s="20" t="n">
        <x:v>0.9099002319821919</x:v>
      </x:c>
      <x:c r="E114" s="20" t="n">
        <x:v>0.6695652173913044</x:v>
      </x:c>
      <x:c r="F114" s="20" t="n">
        <x:v>0.6583070295294696</x:v>
      </x:c>
      <x:c r="G114" s="20" t="n">
        <x:v>0.6583070295294696</x:v>
      </x:c>
      <x:c r="H114" s="20" t="n">
        <x:v>0.5901310324493608</x:v>
      </x:c>
      <x:c r="I114" s="20" t="n">
        <x:v>0.5790707770422401</x:v>
      </x:c>
      <x:c r="J114" s="20" t="n">
        <x:v>0.612080642976751</x:v>
      </x:c>
      <x:c r="K114" s="20" t="n">
        <x:v>0.46445265274951486</x:v>
      </x:c>
      <x:c r="L114" s="20" t="n">
        <x:v>0.1057325632742389</x:v>
      </x:c>
      <x:c r="M114" s="12" t="str">
        <x:v>log_loss</x:v>
      </x:c>
      <x:c r="N114" s="8" t="str">
        <x:v>Entrenamiento</x:v>
      </x:c>
      <x:c r="O114" s="8" t="str">
        <x:v>thesis_completion_v1</x:v>
      </x:c>
    </x:row>
    <x:row r="115" ht="23" customHeight="1">
      <x:c r="A115" s="2" t="str">
        <x:v>Metadata boosting</x:v>
      </x:c>
      <x:c r="B115" s="2" t="str">
        <x:v>Multiclase</x:v>
      </x:c>
      <x:c r="C115" s="17" t="n">
        <x:v>42</x:v>
      </x:c>
      <x:c r="D115" s="18" t="n">
        <x:v>0.9088956150305078</x:v>
      </x:c>
      <x:c r="E115" s="18" t="n">
        <x:v>0.7</x:v>
      </x:c>
      <x:c r="F115" s="18" t="n">
        <x:v>0.5328588880877995</x:v>
      </x:c>
      <x:c r="G115" s="18" t="n">
        <x:v>0.5328588880877995</x:v>
      </x:c>
      <x:c r="H115" s="18" t="n">
        <x:v>0.533918763047213</x:v>
      </x:c>
      <x:c r="I115" s="18" t="n">
        <x:v>0.538209731102311</x:v>
      </x:c>
      <x:c r="J115" s="18" t="n">
        <x:v>0.6167395835986803</x:v>
      </x:c>
      <x:c r="K115" s="18" t="n">
        <x:v>0.40897155451950645</x:v>
      </x:c>
      <x:c r="L115" s="18" t="n">
        <x:v>0.07980706626986726</x:v>
      </x:c>
      <x:c r="M115" s="11" t="str">
        <x:v>log_loss</x:v>
      </x:c>
      <x:c r="N115" s="2" t="str">
        <x:v>Entrenamiento</x:v>
      </x:c>
      <x:c r="O115" s="2" t="str">
        <x:v>thesis_completion_v1</x:v>
      </x:c>
    </x:row>
    <x:row r="116" ht="23" customHeight="1">
      <x:c r="A116" s="8" t="str">
        <x:v>Metadata boosting</x:v>
      </x:c>
      <x:c r="B116" s="8" t="str">
        <x:v>Multiclase</x:v>
      </x:c>
      <x:c r="C116" s="19" t="n">
        <x:v>123</x:v>
      </x:c>
      <x:c r="D116" s="20" t="n">
        <x:v>0.9039294388991732</x:v>
      </x:c>
      <x:c r="E116" s="20" t="n">
        <x:v>0.6826086956521739</x:v>
      </x:c>
      <x:c r="F116" s="20" t="n">
        <x:v>0.5532625115498693</x:v>
      </x:c>
      <x:c r="G116" s="20" t="n">
        <x:v>0.5532625115498693</x:v>
      </x:c>
      <x:c r="H116" s="20" t="n">
        <x:v>0.5604253829996297</x:v>
      </x:c>
      <x:c r="I116" s="20" t="n">
        <x:v>0.5766281009684066</x:v>
      </x:c>
      <x:c r="J116" s="20" t="n">
        <x:v>0.6770969542982205</x:v>
      </x:c>
      <x:c r="K116" s="20" t="n">
        <x:v>0.4288370646406702</x:v>
      </x:c>
      <x:c r="L116" s="20" t="n">
        <x:v>0.04632062078092972</x:v>
      </x:c>
      <x:c r="M116" s="12" t="str">
        <x:v>log_loss</x:v>
      </x:c>
      <x:c r="N116" s="8" t="str">
        <x:v>Entrenamiento</x:v>
      </x:c>
      <x:c r="O116" s="8" t="str">
        <x:v>thesis_completion_v1</x:v>
      </x:c>
    </x:row>
    <x:row r="117" ht="23" customHeight="1">
      <x:c r="A117" s="2" t="str">
        <x:v>Metadata boosting</x:v>
      </x:c>
      <x:c r="B117" s="2" t="str">
        <x:v>Multiclase</x:v>
      </x:c>
      <x:c r="C117" s="17" t="n">
        <x:v>456</x:v>
      </x:c>
      <x:c r="D117" s="18" t="n">
        <x:v>0.9230985099629359</x:v>
      </x:c>
      <x:c r="E117" s="18" t="n">
        <x:v>0.7130434782608696</x:v>
      </x:c>
      <x:c r="F117" s="18" t="n">
        <x:v>0.58295346376955</x:v>
      </x:c>
      <x:c r="G117" s="18" t="n">
        <x:v>0.58295346376955</x:v>
      </x:c>
      <x:c r="H117" s="18" t="n">
        <x:v>0.5857944621431121</x:v>
      </x:c>
      <x:c r="I117" s="18" t="n">
        <x:v>0.6116297733497125</x:v>
      </x:c>
      <x:c r="J117" s="18" t="n">
        <x:v>0.6661512145265774</x:v>
      </x:c>
      <x:c r="K117" s="18" t="n">
        <x:v>0.4150108427824721</x:v>
      </x:c>
      <x:c r="L117" s="18" t="n">
        <x:v>0.06981018107965427</x:v>
      </x:c>
      <x:c r="M117" s="11" t="str">
        <x:v>log_loss</x:v>
      </x:c>
      <x:c r="N117" s="2" t="str">
        <x:v>Entrenamiento</x:v>
      </x:c>
      <x:c r="O117" s="2" t="str">
        <x:v>thesis_completion_v1</x:v>
      </x:c>
    </x:row>
    <x:row r="118" ht="23" customHeight="1">
      <x:c r="A118" s="8" t="str">
        <x:v>Metadata boosting</x:v>
      </x:c>
      <x:c r="B118" s="8" t="str">
        <x:v>Multiclase</x:v>
      </x:c>
      <x:c r="C118" s="19" t="n">
        <x:v>789</x:v>
      </x:c>
      <x:c r="D118" s="20" t="n">
        <x:v>0.8925610410337925</x:v>
      </x:c>
      <x:c r="E118" s="20" t="n">
        <x:v>0.6695652173913044</x:v>
      </x:c>
      <x:c r="F118" s="20" t="n">
        <x:v>0.544255187054394</x:v>
      </x:c>
      <x:c r="G118" s="20" t="n">
        <x:v>0.544255187054394</x:v>
      </x:c>
      <x:c r="H118" s="20" t="n">
        <x:v>0.5361085948099038</x:v>
      </x:c>
      <x:c r="I118" s="20" t="n">
        <x:v>0.5461539084780918</x:v>
      </x:c>
      <x:c r="J118" s="20" t="n">
        <x:v>0.6532649884823076</x:v>
      </x:c>
      <x:c r="K118" s="20" t="n">
        <x:v>0.4427576588530373</x:v>
      </x:c>
      <x:c r="L118" s="20" t="n">
        <x:v>0.07834288210213247</x:v>
      </x:c>
      <x:c r="M118" s="12" t="str">
        <x:v>log_loss</x:v>
      </x:c>
      <x:c r="N118" s="8" t="str">
        <x:v>Entrenamiento</x:v>
      </x:c>
      <x:c r="O118" s="8" t="str">
        <x:v>thesis_completion_v1</x:v>
      </x:c>
    </x:row>
    <x:row r="119" ht="23" customHeight="1">
      <x:c r="A119" s="2" t="str">
        <x:v>Metadata boosting</x:v>
      </x:c>
      <x:c r="B119" s="2" t="str">
        <x:v>Multiclase</x:v>
      </x:c>
      <x:c r="C119" s="17" t="n">
        <x:v>2024</x:v>
      </x:c>
      <x:c r="D119" s="18" t="n">
        <x:v>0.9170464994906583</x:v>
      </x:c>
      <x:c r="E119" s="18" t="n">
        <x:v>0.7043478260869566</x:v>
      </x:c>
      <x:c r="F119" s="18" t="n">
        <x:v>0.5733235973302208</x:v>
      </x:c>
      <x:c r="G119" s="18" t="n">
        <x:v>0.5733235973302208</x:v>
      </x:c>
      <x:c r="H119" s="18" t="n">
        <x:v>0.5671264743768164</x:v>
      </x:c>
      <x:c r="I119" s="18" t="n">
        <x:v>0.5626358890151993</x:v>
      </x:c>
      <x:c r="J119" s="18" t="n">
        <x:v>0.6354258229068854</x:v>
      </x:c>
      <x:c r="K119" s="18" t="n">
        <x:v>0.39804557943613966</x:v>
      </x:c>
      <x:c r="L119" s="18" t="n">
        <x:v>0.08685525056783386</x:v>
      </x:c>
      <x:c r="M119" s="11" t="str">
        <x:v>log_loss</x:v>
      </x:c>
      <x:c r="N119" s="2" t="str">
        <x:v>Entrenamiento</x:v>
      </x:c>
      <x:c r="O119" s="2" t="str">
        <x:v>thesis_completion_v1</x:v>
      </x:c>
    </x:row>
    <x:row r="120" ht="23" customHeight="1">
      <x:c r="A120" s="8" t="str">
        <x:v>Metadata elegida con validación</x:v>
      </x:c>
      <x:c r="B120" s="8" t="str">
        <x:v>Multiclase</x:v>
      </x:c>
      <x:c r="C120" s="19" t="n">
        <x:v>42</x:v>
      </x:c>
      <x:c r="D120" s="20" t="n">
        <x:v>0.8948065421654636</x:v>
      </x:c>
      <x:c r="E120" s="20" t="n">
        <x:v>0.6304347826086957</x:v>
      </x:c>
      <x:c r="F120" s="20" t="n">
        <x:v>0.51582838374475</x:v>
      </x:c>
      <x:c r="G120" s="20" t="n">
        <x:v>0.51582838374475</x:v>
      </x:c>
      <x:c r="H120" s="20" t="n">
        <x:v>0.49370323948130096</x:v>
      </x:c>
      <x:c r="I120" s="20" t="n">
        <x:v>0.514186423150968</x:v>
      </x:c>
      <x:c r="J120" s="20" t="n">
        <x:v>0.5825945516688065</x:v>
      </x:c>
      <x:c r="K120" s="20" t="n">
        <x:v>0.5088515195833084</x:v>
      </x:c>
      <x:c r="L120" s="20" t="n">
        <x:v>0.10267067078260862</x:v>
      </x:c>
      <x:c r="M120" s="12" t="str">
        <x:v>focal</x:v>
      </x:c>
      <x:c r="N120" s="8" t="str">
        <x:v>Selección derivada</x:v>
      </x:c>
      <x:c r="O120" s="8" t="str">
        <x:v>metadata_only_v1</x:v>
      </x:c>
    </x:row>
    <x:row r="121" ht="23" customHeight="1">
      <x:c r="A121" s="2" t="str">
        <x:v>Metadata elegida con validación</x:v>
      </x:c>
      <x:c r="B121" s="2" t="str">
        <x:v>Multiclase</x:v>
      </x:c>
      <x:c r="C121" s="17" t="n">
        <x:v>123</x:v>
      </x:c>
      <x:c r="D121" s="18" t="n">
        <x:v>0.8983825947109109</x:v>
      </x:c>
      <x:c r="E121" s="18" t="n">
        <x:v>0.6869565217391305</x:v>
      </x:c>
      <x:c r="F121" s="18" t="n">
        <x:v>0.6033158636117791</x:v>
      </x:c>
      <x:c r="G121" s="18" t="n">
        <x:v>0.6033158636117791</x:v>
      </x:c>
      <x:c r="H121" s="18" t="n">
        <x:v>0.5893324119204236</x:v>
      </x:c>
      <x:c r="I121" s="18" t="n">
        <x:v>0.5851719868890559</x:v>
      </x:c>
      <x:c r="J121" s="18" t="n">
        <x:v>0.6839781531595968</x:v>
      </x:c>
      <x:c r="K121" s="18" t="n">
        <x:v>0.43384892087174554</x:v>
      </x:c>
      <x:c r="L121" s="18" t="n">
        <x:v>0.03013073893064656</x:v>
      </x:c>
      <x:c r="M121" s="11" t="str">
        <x:v>log_loss</x:v>
      </x:c>
      <x:c r="N121" s="2" t="str">
        <x:v>Selección derivada</x:v>
      </x:c>
      <x:c r="O121" s="2" t="str">
        <x:v>thesis_completion_v1</x:v>
      </x:c>
    </x:row>
    <x:row r="122" ht="23" customHeight="1">
      <x:c r="A122" s="8" t="str">
        <x:v>Metadata elegida con validación</x:v>
      </x:c>
      <x:c r="B122" s="8" t="str">
        <x:v>Multiclase</x:v>
      </x:c>
      <x:c r="C122" s="19" t="n">
        <x:v>456</x:v>
      </x:c>
      <x:c r="D122" s="20" t="n">
        <x:v>0.9072825167312867</x:v>
      </x:c>
      <x:c r="E122" s="20" t="n">
        <x:v>0.691304347826087</x:v>
      </x:c>
      <x:c r="F122" s="20" t="n">
        <x:v>0.6617040940384805</x:v>
      </x:c>
      <x:c r="G122" s="20" t="n">
        <x:v>0.6617040940384805</x:v>
      </x:c>
      <x:c r="H122" s="20" t="n">
        <x:v>0.6129557529976817</x:v>
      </x:c>
      <x:c r="I122" s="20" t="n">
        <x:v>0.5884967235695098</x:v>
      </x:c>
      <x:c r="J122" s="20" t="n">
        <x:v>0.6546110005564548</x:v>
      </x:c>
      <x:c r="K122" s="20" t="n">
        <x:v>0.44029035194435623</x:v>
      </x:c>
      <x:c r="L122" s="20" t="n">
        <x:v>0.05682407362094477</x:v>
      </x:c>
      <x:c r="M122" s="12" t="str">
        <x:v>log_loss</x:v>
      </x:c>
      <x:c r="N122" s="8" t="str">
        <x:v>Selección derivada</x:v>
      </x:c>
      <x:c r="O122" s="8" t="str">
        <x:v>thesis_completion_v1</x:v>
      </x:c>
    </x:row>
    <x:row r="123" ht="23" customHeight="1">
      <x:c r="A123" s="2" t="str">
        <x:v>Metadata elegida con validación</x:v>
      </x:c>
      <x:c r="B123" s="2" t="str">
        <x:v>Multiclase</x:v>
      </x:c>
      <x:c r="C123" s="17" t="n">
        <x:v>789</x:v>
      </x:c>
      <x:c r="D123" s="18" t="n">
        <x:v>0.9172181642862635</x:v>
      </x:c>
      <x:c r="E123" s="18" t="n">
        <x:v>0.6217391304347826</x:v>
      </x:c>
      <x:c r="F123" s="18" t="n">
        <x:v>0.5976463704924412</x:v>
      </x:c>
      <x:c r="G123" s="18" t="n">
        <x:v>0.5976463704924412</x:v>
      </x:c>
      <x:c r="H123" s="18" t="n">
        <x:v>0.5610848087411445</x:v>
      </x:c>
      <x:c r="I123" s="18" t="n">
        <x:v>0.6080671756404933</x:v>
      </x:c>
      <x:c r="J123" s="18" t="n">
        <x:v>0.7097039668171735</x:v>
      </x:c>
      <x:c r="K123" s="18" t="n">
        <x:v>0.4794341086691</x:v>
      </x:c>
      <x:c r="L123" s="18" t="n">
        <x:v>0.059598387000000044</x:v>
      </x:c>
      <x:c r="M123" s="11" t="str">
        <x:v>focal</x:v>
      </x:c>
      <x:c r="N123" s="2" t="str">
        <x:v>Selección derivada</x:v>
      </x:c>
      <x:c r="O123" s="2" t="str">
        <x:v>metadata_only_v1</x:v>
      </x:c>
    </x:row>
    <x:row r="124" ht="23" customHeight="1">
      <x:c r="A124" s="8" t="str">
        <x:v>Metadata elegida con validación</x:v>
      </x:c>
      <x:c r="B124" s="8" t="str">
        <x:v>Multiclase</x:v>
      </x:c>
      <x:c r="C124" s="19" t="n">
        <x:v>2024</x:v>
      </x:c>
      <x:c r="D124" s="20" t="n">
        <x:v>0.9244773893735495</x:v>
      </x:c>
      <x:c r="E124" s="20" t="n">
        <x:v>0.7043478260869566</x:v>
      </x:c>
      <x:c r="F124" s="20" t="n">
        <x:v>0.6142098932297285</x:v>
      </x:c>
      <x:c r="G124" s="20" t="n">
        <x:v>0.6142098932297285</x:v>
      </x:c>
      <x:c r="H124" s="20" t="n">
        <x:v>0.582452216001568</x:v>
      </x:c>
      <x:c r="I124" s="20" t="n">
        <x:v>0.5795121008537097</x:v>
      </x:c>
      <x:c r="J124" s="20" t="n">
        <x:v>0.6142243151382957</x:v>
      </x:c>
      <x:c r="K124" s="20" t="n">
        <x:v>0.46070426087371485</x:v>
      </x:c>
      <x:c r="L124" s="20" t="n">
        <x:v>0.16135371760869563</x:v>
      </x:c>
      <x:c r="M124" s="12" t="str">
        <x:v>focal</x:v>
      </x:c>
      <x:c r="N124" s="8" t="str">
        <x:v>Selección derivada</x:v>
      </x:c>
      <x:c r="O124" s="8" t="str">
        <x:v>metadata_only_v1</x:v>
      </x:c>
    </x:row>
    <x:row r="125" ht="23" customHeight="1">
      <x:c r="A125" s="2" t="str">
        <x:v>Prior empírico de train</x:v>
      </x:c>
      <x:c r="B125" s="2" t="str">
        <x:v>Multiclase</x:v>
      </x:c>
      <x:c r="C125" s="17" t="n">
        <x:v>42</x:v>
      </x:c>
      <x:c r="D125" s="18" t="n">
        <x:v>0.5</x:v>
      </x:c>
      <x:c r="E125" s="18" t="n">
        <x:v>0.3652173913043478</x:v>
      </x:c>
      <x:c r="F125" s="18" t="n">
        <x:v>0.16666666666666666</x:v>
      </x:c>
      <x:c r="G125" s="18" t="n">
        <x:v>0.16666666666666666</x:v>
      </x:c>
      <x:c r="H125" s="18" t="n">
        <x:v>0.08917197452229299</x:v>
      </x:c>
      <x:c r="I125" s="18" t="n">
        <x:v>0.06086956521739131</x:v>
      </x:c>
      <x:c r="J125" s="18" t="n">
        <x:v>0.16666666666666666</x:v>
      </x:c>
      <x:c r="K125" s="18" t="n">
        <x:v>0.7359040608851432</x:v>
      </x:c>
      <x:c r="L125" s="18" t="n">
        <x:v>0.0031177555944550406</x:v>
      </x:c>
      <x:c r="M125" s="11" t="str">
        <x:v>prior</x:v>
      </x:c>
      <x:c r="N125" s="2" t="str">
        <x:v>Entrenamiento</x:v>
      </x:c>
      <x:c r="O125" s="2" t="str">
        <x:v>metadata_empirical_prior_v1</x:v>
      </x:c>
    </x:row>
    <x:row r="126" ht="23" customHeight="1">
      <x:c r="A126" s="8" t="str">
        <x:v>Prior empírico de train</x:v>
      </x:c>
      <x:c r="B126" s="8" t="str">
        <x:v>Multiclase</x:v>
      </x:c>
      <x:c r="C126" s="19" t="n">
        <x:v>123</x:v>
      </x:c>
      <x:c r="D126" s="20" t="n">
        <x:v>0.5</x:v>
      </x:c>
      <x:c r="E126" s="20" t="n">
        <x:v>0.3652173913043478</x:v>
      </x:c>
      <x:c r="F126" s="20" t="n">
        <x:v>0.16666666666666666</x:v>
      </x:c>
      <x:c r="G126" s="20" t="n">
        <x:v>0.16666666666666666</x:v>
      </x:c>
      <x:c r="H126" s="20" t="n">
        <x:v>0.08917197452229299</x:v>
      </x:c>
      <x:c r="I126" s="20" t="n">
        <x:v>0.06086956521739131</x:v>
      </x:c>
      <x:c r="J126" s="20" t="n">
        <x:v>0.1666666666666667</x:v>
      </x:c>
      <x:c r="K126" s="20" t="n">
        <x:v>0.7365939587960877</x:v>
      </x:c>
      <x:c r="L126" s="20" t="n">
        <x:v>0.0025736859535412937</x:v>
      </x:c>
      <x:c r="M126" s="12" t="str">
        <x:v>prior</x:v>
      </x:c>
      <x:c r="N126" s="8" t="str">
        <x:v>Entrenamiento</x:v>
      </x:c>
      <x:c r="O126" s="8" t="str">
        <x:v>metadata_empirical_prior_v1</x:v>
      </x:c>
    </x:row>
    <x:row r="127" ht="23" customHeight="1">
      <x:c r="A127" s="2" t="str">
        <x:v>Prior empírico de train</x:v>
      </x:c>
      <x:c r="B127" s="2" t="str">
        <x:v>Multiclase</x:v>
      </x:c>
      <x:c r="C127" s="17" t="n">
        <x:v>456</x:v>
      </x:c>
      <x:c r="D127" s="18" t="n">
        <x:v>0.5</x:v>
      </x:c>
      <x:c r="E127" s="18" t="n">
        <x:v>0.3695652173913043</x:v>
      </x:c>
      <x:c r="F127" s="18" t="n">
        <x:v>0.16666666666666666</x:v>
      </x:c>
      <x:c r="G127" s="18" t="n">
        <x:v>0.16666666666666666</x:v>
      </x:c>
      <x:c r="H127" s="18" t="n">
        <x:v>0.08994708994708994</x:v>
      </x:c>
      <x:c r="I127" s="18" t="n">
        <x:v>0.06159420289855072</x:v>
      </x:c>
      <x:c r="J127" s="18" t="n">
        <x:v>0.16666666666666663</x:v>
      </x:c>
      <x:c r="K127" s="18" t="n">
        <x:v>0.733626005751483</x:v>
      </x:c>
      <x:c r="L127" s="18" t="n">
        <x:v>0.002318209774329283</x:v>
      </x:c>
      <x:c r="M127" s="11" t="str">
        <x:v>prior</x:v>
      </x:c>
      <x:c r="N127" s="2" t="str">
        <x:v>Entrenamiento</x:v>
      </x:c>
      <x:c r="O127" s="2" t="str">
        <x:v>metadata_empirical_prior_v1</x:v>
      </x:c>
    </x:row>
    <x:row r="128" ht="23" customHeight="1">
      <x:c r="A128" s="8" t="str">
        <x:v>Prior empírico de train</x:v>
      </x:c>
      <x:c r="B128" s="8" t="str">
        <x:v>Multiclase</x:v>
      </x:c>
      <x:c r="C128" s="19" t="n">
        <x:v>789</x:v>
      </x:c>
      <x:c r="D128" s="20" t="n">
        <x:v>0.5</x:v>
      </x:c>
      <x:c r="E128" s="20" t="n">
        <x:v>0.3652173913043478</x:v>
      </x:c>
      <x:c r="F128" s="20" t="n">
        <x:v>0.16666666666666666</x:v>
      </x:c>
      <x:c r="G128" s="20" t="n">
        <x:v>0.16666666666666666</x:v>
      </x:c>
      <x:c r="H128" s="20" t="n">
        <x:v>0.08917197452229299</x:v>
      </x:c>
      <x:c r="I128" s="20" t="n">
        <x:v>0.06086956521739131</x:v>
      </x:c>
      <x:c r="J128" s="20" t="n">
        <x:v>0.16666666666666666</x:v>
      </x:c>
      <x:c r="K128" s="20" t="n">
        <x:v>0.7359081741617963</x:v>
      </x:c>
      <x:c r="L128" s="20" t="n">
        <x:v>0.0031177555944550406</x:v>
      </x:c>
      <x:c r="M128" s="12" t="str">
        <x:v>prior</x:v>
      </x:c>
      <x:c r="N128" s="8" t="str">
        <x:v>Entrenamiento</x:v>
      </x:c>
      <x:c r="O128" s="8" t="str">
        <x:v>metadata_empirical_prior_v1</x:v>
      </x:c>
    </x:row>
    <x:row r="129" ht="23" customHeight="1">
      <x:c r="A129" s="2" t="str">
        <x:v>Prior empírico de train</x:v>
      </x:c>
      <x:c r="B129" s="2" t="str">
        <x:v>Multiclase</x:v>
      </x:c>
      <x:c r="C129" s="17" t="n">
        <x:v>2024</x:v>
      </x:c>
      <x:c r="D129" s="18" t="n">
        <x:v>0.5</x:v>
      </x:c>
      <x:c r="E129" s="18" t="n">
        <x:v>0.3695652173913043</x:v>
      </x:c>
      <x:c r="F129" s="18" t="n">
        <x:v>0.16666666666666666</x:v>
      </x:c>
      <x:c r="G129" s="18" t="n">
        <x:v>0.16666666666666666</x:v>
      </x:c>
      <x:c r="H129" s="18" t="n">
        <x:v>0.08994708994708994</x:v>
      </x:c>
      <x:c r="I129" s="18" t="n">
        <x:v>0.06159420289855072</x:v>
      </x:c>
      <x:c r="J129" s="18" t="n">
        <x:v>0.16666666666666666</x:v>
      </x:c>
      <x:c r="K129" s="18" t="n">
        <x:v>0.7335928884689926</x:v>
      </x:c>
      <x:c r="L129" s="18" t="n">
        <x:v>0.002318209774329283</x:v>
      </x:c>
      <x:c r="M129" s="11" t="str">
        <x:v>prior</x:v>
      </x:c>
      <x:c r="N129" s="2" t="str">
        <x:v>Entrenamiento</x:v>
      </x:c>
      <x:c r="O129" s="2" t="str">
        <x:v>metadata_empirical_prior_v1</x:v>
      </x:c>
    </x:row>
    <x:row r="130" ht="23" customHeight="1">
      <x:c r="A130" s="8" t="str">
        <x:v>Prior ponderado en multiclase</x:v>
      </x:c>
      <x:c r="B130" s="8" t="str">
        <x:v>Multiclase</x:v>
      </x:c>
      <x:c r="C130" s="19" t="n">
        <x:v>42</x:v>
      </x:c>
      <x:c r="D130" s="20" t="n">
        <x:v>0.5</x:v>
      </x:c>
      <x:c r="E130" s="20" t="n">
        <x:v>0.3173913043478261</x:v>
      </x:c>
      <x:c r="F130" s="20" t="n">
        <x:v>0.16666666666666666</x:v>
      </x:c>
      <x:c r="G130" s="20" t="n">
        <x:v>0.16666666666666666</x:v>
      </x:c>
      <x:c r="H130" s="20" t="n">
        <x:v>0.08030803080308031</x:v>
      </x:c>
      <x:c r="I130" s="20" t="n">
        <x:v>0.05289855072463768</x:v>
      </x:c>
      <x:c r="J130" s="20" t="n">
        <x:v>0.16666666666666666</x:v>
      </x:c>
      <x:c r="K130" s="20" t="n">
        <x:v>0.8333333333333337</x:v>
      </x:c>
      <x:c r="L130" s="20" t="n">
        <x:v>0.1507246376811584</x:v>
      </x:c>
      <x:c r="M130" s="12" t="str">
        <x:v>prior</x:v>
      </x:c>
      <x:c r="N130" s="8" t="str">
        <x:v>Entrenamiento</x:v>
      </x:c>
      <x:c r="O130" s="8" t="str">
        <x:v>thesis_completion_v1</x:v>
      </x:c>
    </x:row>
    <x:row r="131" ht="23" customHeight="1">
      <x:c r="A131" s="2" t="str">
        <x:v>Prior ponderado en multiclase</x:v>
      </x:c>
      <x:c r="B131" s="2" t="str">
        <x:v>Multiclase</x:v>
      </x:c>
      <x:c r="C131" s="17" t="n">
        <x:v>123</x:v>
      </x:c>
      <x:c r="D131" s="18" t="n">
        <x:v>0.5</x:v>
      </x:c>
      <x:c r="E131" s="18" t="n">
        <x:v>0.3652173913043478</x:v>
      </x:c>
      <x:c r="F131" s="18" t="n">
        <x:v>0.16666666666666666</x:v>
      </x:c>
      <x:c r="G131" s="18" t="n">
        <x:v>0.16666666666666666</x:v>
      </x:c>
      <x:c r="H131" s="18" t="n">
        <x:v>0.08917197452229299</x:v>
      </x:c>
      <x:c r="I131" s="18" t="n">
        <x:v>0.06086956521739131</x:v>
      </x:c>
      <x:c r="J131" s="18" t="n">
        <x:v>0.1666666666666667</x:v>
      </x:c>
      <x:c r="K131" s="18" t="n">
        <x:v>0.8333333333333325</x:v>
      </x:c>
      <x:c r="L131" s="18" t="n">
        <x:v>0.19855072463768025</x:v>
      </x:c>
      <x:c r="M131" s="11" t="str">
        <x:v>prior</x:v>
      </x:c>
      <x:c r="N131" s="2" t="str">
        <x:v>Entrenamiento</x:v>
      </x:c>
      <x:c r="O131" s="2" t="str">
        <x:v>thesis_completion_v1</x:v>
      </x:c>
    </x:row>
    <x:row r="132" ht="23" customHeight="1">
      <x:c r="A132" s="8" t="str">
        <x:v>Prior ponderado en multiclase</x:v>
      </x:c>
      <x:c r="B132" s="8" t="str">
        <x:v>Multiclase</x:v>
      </x:c>
      <x:c r="C132" s="19" t="n">
        <x:v>456</x:v>
      </x:c>
      <x:c r="D132" s="20" t="n">
        <x:v>0.5</x:v>
      </x:c>
      <x:c r="E132" s="20" t="n">
        <x:v>0.3173913043478261</x:v>
      </x:c>
      <x:c r="F132" s="20" t="n">
        <x:v>0.16666666666666666</x:v>
      </x:c>
      <x:c r="G132" s="20" t="n">
        <x:v>0.16666666666666666</x:v>
      </x:c>
      <x:c r="H132" s="20" t="n">
        <x:v>0.08030803080308031</x:v>
      </x:c>
      <x:c r="I132" s="20" t="n">
        <x:v>0.05289855072463768</x:v>
      </x:c>
      <x:c r="J132" s="20" t="n">
        <x:v>0.16666666666666663</x:v>
      </x:c>
      <x:c r="K132" s="20" t="n">
        <x:v>0.833333333333333</x:v>
      </x:c>
      <x:c r="L132" s="20" t="n">
        <x:v>0.15072463768115862</x:v>
      </x:c>
      <x:c r="M132" s="12" t="str">
        <x:v>prior</x:v>
      </x:c>
      <x:c r="N132" s="8" t="str">
        <x:v>Entrenamiento</x:v>
      </x:c>
      <x:c r="O132" s="8" t="str">
        <x:v>thesis_completion_v1</x:v>
      </x:c>
    </x:row>
    <x:row r="133" ht="23" customHeight="1">
      <x:c r="A133" s="2" t="str">
        <x:v>Prior ponderado en multiclase</x:v>
      </x:c>
      <x:c r="B133" s="2" t="str">
        <x:v>Multiclase</x:v>
      </x:c>
      <x:c r="C133" s="17" t="n">
        <x:v>789</x:v>
      </x:c>
      <x:c r="D133" s="18" t="n">
        <x:v>0.5</x:v>
      </x:c>
      <x:c r="E133" s="18" t="n">
        <x:v>0.3173913043478261</x:v>
      </x:c>
      <x:c r="F133" s="18" t="n">
        <x:v>0.16666666666666666</x:v>
      </x:c>
      <x:c r="G133" s="18" t="n">
        <x:v>0.16666666666666666</x:v>
      </x:c>
      <x:c r="H133" s="18" t="n">
        <x:v>0.08030803080308031</x:v>
      </x:c>
      <x:c r="I133" s="18" t="n">
        <x:v>0.05289855072463768</x:v>
      </x:c>
      <x:c r="J133" s="18" t="n">
        <x:v>0.16666666666666666</x:v>
      </x:c>
      <x:c r="K133" s="18" t="n">
        <x:v>0.8333333333333336</x:v>
      </x:c>
      <x:c r="L133" s="18" t="n">
        <x:v>0.1507246376811584</x:v>
      </x:c>
      <x:c r="M133" s="11" t="str">
        <x:v>prior</x:v>
      </x:c>
      <x:c r="N133" s="2" t="str">
        <x:v>Entrenamiento</x:v>
      </x:c>
      <x:c r="O133" s="2" t="str">
        <x:v>thesis_completion_v1</x:v>
      </x:c>
    </x:row>
    <x:row r="134" ht="23" customHeight="1">
      <x:c r="A134" s="8" t="str">
        <x:v>Prior ponderado en multiclase</x:v>
      </x:c>
      <x:c r="B134" s="8" t="str">
        <x:v>Multiclase</x:v>
      </x:c>
      <x:c r="C134" s="19" t="n">
        <x:v>2024</x:v>
      </x:c>
      <x:c r="D134" s="20" t="n">
        <x:v>0.5</x:v>
      </x:c>
      <x:c r="E134" s="20" t="n">
        <x:v>0.3173913043478261</x:v>
      </x:c>
      <x:c r="F134" s="20" t="n">
        <x:v>0.16666666666666666</x:v>
      </x:c>
      <x:c r="G134" s="20" t="n">
        <x:v>0.16666666666666666</x:v>
      </x:c>
      <x:c r="H134" s="20" t="n">
        <x:v>0.08030803080308031</x:v>
      </x:c>
      <x:c r="I134" s="20" t="n">
        <x:v>0.05289855072463768</x:v>
      </x:c>
      <x:c r="J134" s="20" t="n">
        <x:v>0.16666666666666666</x:v>
      </x:c>
      <x:c r="K134" s="20" t="n">
        <x:v>0.8333333333333329</x:v>
      </x:c>
      <x:c r="L134" s="20" t="n">
        <x:v>0.15072463768115862</x:v>
      </x:c>
      <x:c r="M134" s="12" t="str">
        <x:v>prior</x:v>
      </x:c>
      <x:c r="N134" s="8" t="str">
        <x:v>Entrenamiento</x:v>
      </x:c>
      <x:c r="O134" s="8" t="str">
        <x:v>thesis_completion_v1</x:v>
      </x:c>
    </x:row>
    <x:row r="135" ht="23" customHeight="1">
      <x:c r="A135" s="2" t="str">
        <x:v>CLIP</x:v>
      </x:c>
      <x:c r="B135" s="2" t="str">
        <x:v>Multiclase</x:v>
      </x:c>
      <x:c r="C135" s="17" t="n">
        <x:v>42</x:v>
      </x:c>
      <x:c r="D135" s="18" t="n">
        <x:v>0.9245661873347695</x:v>
      </x:c>
      <x:c r="E135" s="18" t="n">
        <x:v>0.6434782608695652</x:v>
      </x:c>
      <x:c r="F135" s="18" t="n">
        <x:v>0.6718199322507181</x:v>
      </x:c>
      <x:c r="G135" s="18" t="n">
        <x:v>0.6718199322507181</x:v>
      </x:c>
      <x:c r="H135" s="18" t="n">
        <x:v>0.593151168939401</x:v>
      </x:c>
      <x:c r="I135" s="18" t="n">
        <x:v>0.5982388221385014</x:v>
      </x:c>
      <x:c r="J135" s="18" t="n">
        <x:v>0.6846487702249783</x:v>
      </x:c>
      <x:c r="K135" s="18" t="n">
        <x:v>0.5232924730505325</x:v>
      </x:c>
      <x:c r="L135" s="18" t="n">
        <x:v>0.1696911772608696</x:v>
      </x:c>
      <x:c r="M135" s="11" t="str">
        <x:v>focal</x:v>
      </x:c>
      <x:c r="N135" s="2" t="str">
        <x:v>Entrenamiento</x:v>
      </x:c>
      <x:c r="O135" s="2" t="str">
        <x:v>paper_baseline_v1</x:v>
      </x:c>
    </x:row>
    <x:row r="136" ht="23" customHeight="1">
      <x:c r="A136" s="8" t="str">
        <x:v>CLIP</x:v>
      </x:c>
      <x:c r="B136" s="8" t="str">
        <x:v>Multiclase</x:v>
      </x:c>
      <x:c r="C136" s="19" t="n">
        <x:v>123</x:v>
      </x:c>
      <x:c r="D136" s="20" t="n">
        <x:v>0.9146158042891681</x:v>
      </x:c>
      <x:c r="E136" s="20" t="n">
        <x:v>0.7086956521739131</x:v>
      </x:c>
      <x:c r="F136" s="20" t="n">
        <x:v>0.6463852454244604</x:v>
      </x:c>
      <x:c r="G136" s="20" t="n">
        <x:v>0.6463852454244604</x:v>
      </x:c>
      <x:c r="H136" s="20" t="n">
        <x:v>0.6252098784778524</x:v>
      </x:c>
      <x:c r="I136" s="20" t="n">
        <x:v>0.6199896702820679</x:v>
      </x:c>
      <x:c r="J136" s="20" t="n">
        <x:v>0.6957271490847367</x:v>
      </x:c>
      <x:c r="K136" s="20" t="n">
        <x:v>0.4697621013824845</x:v>
      </x:c>
      <x:c r="L136" s="20" t="n">
        <x:v>0.18184900891304348</x:v>
      </x:c>
      <x:c r="M136" s="12" t="str">
        <x:v>focal</x:v>
      </x:c>
      <x:c r="N136" s="8" t="str">
        <x:v>Entrenamiento</x:v>
      </x:c>
      <x:c r="O136" s="8" t="str">
        <x:v>paper_baseline_v1</x:v>
      </x:c>
    </x:row>
    <x:row r="137" ht="23" customHeight="1">
      <x:c r="A137" s="2" t="str">
        <x:v>CLIP</x:v>
      </x:c>
      <x:c r="B137" s="2" t="str">
        <x:v>Multiclase</x:v>
      </x:c>
      <x:c r="C137" s="17" t="n">
        <x:v>456</x:v>
      </x:c>
      <x:c r="D137" s="18" t="n">
        <x:v>0.9153223250166386</x:v>
      </x:c>
      <x:c r="E137" s="18" t="n">
        <x:v>0.6347826086956522</x:v>
      </x:c>
      <x:c r="F137" s="18" t="n">
        <x:v>0.6268912191168223</x:v>
      </x:c>
      <x:c r="G137" s="18" t="n">
        <x:v>0.6268912191168223</x:v>
      </x:c>
      <x:c r="H137" s="18" t="n">
        <x:v>0.6000210885450247</x:v>
      </x:c>
      <x:c r="I137" s="18" t="n">
        <x:v>0.6016906390947312</x:v>
      </x:c>
      <x:c r="J137" s="18" t="n">
        <x:v>0.6901588906065427</x:v>
      </x:c>
      <x:c r="K137" s="18" t="n">
        <x:v>0.4734918486698313</x:v>
      </x:c>
      <x:c r="L137" s="18" t="n">
        <x:v>0.08757727195652179</x:v>
      </x:c>
      <x:c r="M137" s="11" t="str">
        <x:v>focal</x:v>
      </x:c>
      <x:c r="N137" s="2" t="str">
        <x:v>Entrenamiento</x:v>
      </x:c>
      <x:c r="O137" s="2" t="str">
        <x:v>paper_baseline_v1</x:v>
      </x:c>
    </x:row>
    <x:row r="138" ht="23" customHeight="1">
      <x:c r="A138" s="8" t="str">
        <x:v>CLIP</x:v>
      </x:c>
      <x:c r="B138" s="8" t="str">
        <x:v>Multiclase</x:v>
      </x:c>
      <x:c r="C138" s="19" t="n">
        <x:v>789</x:v>
      </x:c>
      <x:c r="D138" s="20" t="n">
        <x:v>0.9034355174161477</x:v>
      </x:c>
      <x:c r="E138" s="20" t="n">
        <x:v>0.6260869565217392</x:v>
      </x:c>
      <x:c r="F138" s="20" t="n">
        <x:v>0.6148151199917602</x:v>
      </x:c>
      <x:c r="G138" s="20" t="n">
        <x:v>0.6148151199917602</x:v>
      </x:c>
      <x:c r="H138" s="20" t="n">
        <x:v>0.5846524331403363</x:v>
      </x:c>
      <x:c r="I138" s="20" t="n">
        <x:v>0.6140286161412921</x:v>
      </x:c>
      <x:c r="J138" s="20" t="n">
        <x:v>0.6800862655454641</x:v>
      </x:c>
      <x:c r="K138" s="20" t="n">
        <x:v>0.5121627295913422</x:v>
      </x:c>
      <x:c r="L138" s="20" t="n">
        <x:v>0.07385415039130432</x:v>
      </x:c>
      <x:c r="M138" s="12" t="str">
        <x:v>focal</x:v>
      </x:c>
      <x:c r="N138" s="8" t="str">
        <x:v>Entrenamiento</x:v>
      </x:c>
      <x:c r="O138" s="8" t="str">
        <x:v>paper_baseline_v1</x:v>
      </x:c>
    </x:row>
    <x:row r="139" ht="23" customHeight="1">
      <x:c r="A139" s="2" t="str">
        <x:v>CLIP</x:v>
      </x:c>
      <x:c r="B139" s="2" t="str">
        <x:v>Multiclase</x:v>
      </x:c>
      <x:c r="C139" s="17" t="n">
        <x:v>2024</x:v>
      </x:c>
      <x:c r="D139" s="18" t="n">
        <x:v>0.933502421662387</x:v>
      </x:c>
      <x:c r="E139" s="18" t="n">
        <x:v>0.6826086956521739</x:v>
      </x:c>
      <x:c r="F139" s="18" t="n">
        <x:v>0.6946547376042672</x:v>
      </x:c>
      <x:c r="G139" s="18" t="n">
        <x:v>0.6946547376042672</x:v>
      </x:c>
      <x:c r="H139" s="18" t="n">
        <x:v>0.6372738493639832</x:v>
      </x:c>
      <x:c r="I139" s="18" t="n">
        <x:v>0.6449552356153729</x:v>
      </x:c>
      <x:c r="J139" s="18" t="n">
        <x:v>0.733283589328306</x:v>
      </x:c>
      <x:c r="K139" s="18" t="n">
        <x:v>0.44909475321153675</x:v>
      </x:c>
      <x:c r="L139" s="18" t="n">
        <x:v>0.12592792717391302</x:v>
      </x:c>
      <x:c r="M139" s="11" t="str">
        <x:v>focal</x:v>
      </x:c>
      <x:c r="N139" s="2" t="str">
        <x:v>Entrenamiento</x:v>
      </x:c>
      <x:c r="O139" s="2" t="str">
        <x:v>paper_baseline_v1</x:v>
      </x:c>
    </x:row>
    <x:row r="140" ht="23" customHeight="1">
      <x:c r="A140" s="8" t="str">
        <x:v>DINOv2</x:v>
      </x:c>
      <x:c r="B140" s="8" t="str">
        <x:v>Multiclase</x:v>
      </x:c>
      <x:c r="C140" s="19" t="n">
        <x:v>42</x:v>
      </x:c>
      <x:c r="D140" s="20" t="n">
        <x:v>0.9121536200667689</x:v>
      </x:c>
      <x:c r="E140" s="20" t="n">
        <x:v>0.6782608695652174</x:v>
      </x:c>
      <x:c r="F140" s="20" t="n">
        <x:v>0.6851715475904373</x:v>
      </x:c>
      <x:c r="G140" s="20" t="n">
        <x:v>0.6851715475904373</x:v>
      </x:c>
      <x:c r="H140" s="20" t="n">
        <x:v>0.6314851375602294</x:v>
      </x:c>
      <x:c r="I140" s="20" t="n">
        <x:v>0.6178867574476522</x:v>
      </x:c>
      <x:c r="J140" s="20" t="n">
        <x:v>0.6869526519566684</x:v>
      </x:c>
      <x:c r="K140" s="20" t="n">
        <x:v>0.47831710239695396</x:v>
      </x:c>
      <x:c r="L140" s="20" t="n">
        <x:v>0.12846071795652172</x:v>
      </x:c>
      <x:c r="M140" s="12" t="str">
        <x:v>focal</x:v>
      </x:c>
      <x:c r="N140" s="8" t="str">
        <x:v>Entrenamiento</x:v>
      </x:c>
      <x:c r="O140" s="8" t="str">
        <x:v>paper_baseline_v1</x:v>
      </x:c>
    </x:row>
    <x:row r="141" ht="23" customHeight="1">
      <x:c r="A141" s="2" t="str">
        <x:v>DINOv2</x:v>
      </x:c>
      <x:c r="B141" s="2" t="str">
        <x:v>Multiclase</x:v>
      </x:c>
      <x:c r="C141" s="17" t="n">
        <x:v>123</x:v>
      </x:c>
      <x:c r="D141" s="18" t="n">
        <x:v>0.8975506208686573</x:v>
      </x:c>
      <x:c r="E141" s="18" t="n">
        <x:v>0.6130434782608696</x:v>
      </x:c>
      <x:c r="F141" s="18" t="n">
        <x:v>0.5949711732179367</x:v>
      </x:c>
      <x:c r="G141" s="18" t="n">
        <x:v>0.5949711732179367</x:v>
      </x:c>
      <x:c r="H141" s="18" t="n">
        <x:v>0.5948862085347183</x:v>
      </x:c>
      <x:c r="I141" s="18" t="n">
        <x:v>0.6378694018399901</x:v>
      </x:c>
      <x:c r="J141" s="18" t="n">
        <x:v>0.6745675019992765</x:v>
      </x:c>
      <x:c r="K141" s="18" t="n">
        <x:v>0.4860778619554904</x:v>
      </x:c>
      <x:c r="L141" s="18" t="n">
        <x:v>0.07224045504347826</x:v>
      </x:c>
      <x:c r="M141" s="11" t="str">
        <x:v>focal</x:v>
      </x:c>
      <x:c r="N141" s="2" t="str">
        <x:v>Entrenamiento</x:v>
      </x:c>
      <x:c r="O141" s="2" t="str">
        <x:v>paper_baseline_v1</x:v>
      </x:c>
    </x:row>
    <x:row r="142" ht="23" customHeight="1">
      <x:c r="A142" s="8" t="str">
        <x:v>DINOv2</x:v>
      </x:c>
      <x:c r="B142" s="8" t="str">
        <x:v>Multiclase</x:v>
      </x:c>
      <x:c r="C142" s="19" t="n">
        <x:v>456</x:v>
      </x:c>
      <x:c r="D142" s="20" t="n">
        <x:v>0.9084690093786932</x:v>
      </x:c>
      <x:c r="E142" s="20" t="n">
        <x:v>0.6695652173913044</x:v>
      </x:c>
      <x:c r="F142" s="20" t="n">
        <x:v>0.6606846487693852</x:v>
      </x:c>
      <x:c r="G142" s="20" t="n">
        <x:v>0.6606846487693852</x:v>
      </x:c>
      <x:c r="H142" s="20" t="n">
        <x:v>0.6376201076773517</x:v>
      </x:c>
      <x:c r="I142" s="20" t="n">
        <x:v>0.6423938300100289</x:v>
      </x:c>
      <x:c r="J142" s="20" t="n">
        <x:v>0.669485687775497</x:v>
      </x:c>
      <x:c r="K142" s="20" t="n">
        <x:v>0.4802082443699079</x:v>
      </x:c>
      <x:c r="L142" s="20" t="n">
        <x:v>0.12936340513043476</x:v>
      </x:c>
      <x:c r="M142" s="12" t="str">
        <x:v>focal</x:v>
      </x:c>
      <x:c r="N142" s="8" t="str">
        <x:v>Entrenamiento</x:v>
      </x:c>
      <x:c r="O142" s="8" t="str">
        <x:v>paper_baseline_v1</x:v>
      </x:c>
    </x:row>
    <x:row r="143" ht="23" customHeight="1">
      <x:c r="A143" s="2" t="str">
        <x:v>DINOv2</x:v>
      </x:c>
      <x:c r="B143" s="2" t="str">
        <x:v>Multiclase</x:v>
      </x:c>
      <x:c r="C143" s="17" t="n">
        <x:v>789</x:v>
      </x:c>
      <x:c r="D143" s="18" t="n">
        <x:v>0.8793942580120802</x:v>
      </x:c>
      <x:c r="E143" s="18" t="n">
        <x:v>0.6130434782608696</x:v>
      </x:c>
      <x:c r="F143" s="18" t="n">
        <x:v>0.5784864844760302</x:v>
      </x:c>
      <x:c r="G143" s="18" t="n">
        <x:v>0.5784864844760302</x:v>
      </x:c>
      <x:c r="H143" s="18" t="n">
        <x:v>0.581896122447534</x:v>
      </x:c>
      <x:c r="I143" s="18" t="n">
        <x:v>0.6239855072463768</x:v>
      </x:c>
      <x:c r="J143" s="18" t="n">
        <x:v>0.6114926507351375</x:v>
      </x:c>
      <x:c r="K143" s="18" t="n">
        <x:v>0.5289157012928475</x:v>
      </x:c>
      <x:c r="L143" s="18" t="n">
        <x:v>0.049849507652173906</x:v>
      </x:c>
      <x:c r="M143" s="11" t="str">
        <x:v>focal</x:v>
      </x:c>
      <x:c r="N143" s="2" t="str">
        <x:v>Entrenamiento</x:v>
      </x:c>
      <x:c r="O143" s="2" t="str">
        <x:v>paper_baseline_v1</x:v>
      </x:c>
    </x:row>
    <x:row r="144" ht="23" customHeight="1">
      <x:c r="A144" s="8" t="str">
        <x:v>DINOv2</x:v>
      </x:c>
      <x:c r="B144" s="8" t="str">
        <x:v>Multiclase</x:v>
      </x:c>
      <x:c r="C144" s="19" t="n">
        <x:v>2024</x:v>
      </x:c>
      <x:c r="D144" s="20" t="n">
        <x:v>0.8927876354222471</x:v>
      </x:c>
      <x:c r="E144" s="20" t="n">
        <x:v>0.6304347826086957</x:v>
      </x:c>
      <x:c r="F144" s="20" t="n">
        <x:v>0.6207606375361028</x:v>
      </x:c>
      <x:c r="G144" s="20" t="n">
        <x:v>0.6207606375361028</x:v>
      </x:c>
      <x:c r="H144" s="20" t="n">
        <x:v>0.6064597187858246</x:v>
      </x:c>
      <x:c r="I144" s="20" t="n">
        <x:v>0.6246827246827247</x:v>
      </x:c>
      <x:c r="J144" s="20" t="n">
        <x:v>0.6871001473396348</x:v>
      </x:c>
      <x:c r="K144" s="20" t="n">
        <x:v>0.45887823255332166</x:v>
      </x:c>
      <x:c r="L144" s="20" t="n">
        <x:v>0.060086617521739064</x:v>
      </x:c>
      <x:c r="M144" s="12" t="str">
        <x:v>focal</x:v>
      </x:c>
      <x:c r="N144" s="8" t="str">
        <x:v>Entrenamiento</x:v>
      </x:c>
      <x:c r="O144" s="8" t="str">
        <x:v>paper_baseline_v1</x:v>
      </x:c>
    </x:row>
    <x:row r="145" ht="23" customHeight="1">
      <x:c r="A145" s="2" t="str">
        <x:v>ConvNeXt</x:v>
      </x:c>
      <x:c r="B145" s="2" t="str">
        <x:v>Multiclase</x:v>
      </x:c>
      <x:c r="C145" s="17" t="n">
        <x:v>42</x:v>
      </x:c>
      <x:c r="D145" s="18" t="n">
        <x:v>0.9045191705722542</x:v>
      </x:c>
      <x:c r="E145" s="18" t="n">
        <x:v>0.6347826086956522</x:v>
      </x:c>
      <x:c r="F145" s="18" t="n">
        <x:v>0.6503693308613999</x:v>
      </x:c>
      <x:c r="G145" s="18" t="n">
        <x:v>0.6503693308613999</x:v>
      </x:c>
      <x:c r="H145" s="18" t="n">
        <x:v>0.6143900543900543</x:v>
      </x:c>
      <x:c r="I145" s="18" t="n">
        <x:v>0.5982406116586908</x:v>
      </x:c>
      <x:c r="J145" s="18" t="n">
        <x:v>0.6527553986051903</x:v>
      </x:c>
      <x:c r="K145" s="18" t="n">
        <x:v>0.4974113494241168</x:v>
      </x:c>
      <x:c r="L145" s="18" t="n">
        <x:v>0.07950179121739127</x:v>
      </x:c>
      <x:c r="M145" s="11" t="str">
        <x:v>focal</x:v>
      </x:c>
      <x:c r="N145" s="2" t="str">
        <x:v>Entrenamiento</x:v>
      </x:c>
      <x:c r="O145" s="2" t="str">
        <x:v>paper_baseline_v1</x:v>
      </x:c>
    </x:row>
    <x:row r="146" ht="23" customHeight="1">
      <x:c r="A146" s="8" t="str">
        <x:v>ConvNeXt</x:v>
      </x:c>
      <x:c r="B146" s="8" t="str">
        <x:v>Multiclase</x:v>
      </x:c>
      <x:c r="C146" s="19" t="n">
        <x:v>123</x:v>
      </x:c>
      <x:c r="D146" s="20" t="n">
        <x:v>0.8415224477821854</x:v>
      </x:c>
      <x:c r="E146" s="20" t="n">
        <x:v>0.5173913043478261</x:v>
      </x:c>
      <x:c r="F146" s="20" t="n">
        <x:v>0.5448158464455758</x:v>
      </x:c>
      <x:c r="G146" s="20" t="n">
        <x:v>0.5448158464455758</x:v>
      </x:c>
      <x:c r="H146" s="20" t="n">
        <x:v>0.4911575145662064</x:v>
      </x:c>
      <x:c r="I146" s="20" t="n">
        <x:v>0.4815686405956332</x:v>
      </x:c>
      <x:c r="J146" s="20" t="n">
        <x:v>0.5023929263862981</x:v>
      </x:c>
      <x:c r="K146" s="20" t="n">
        <x:v>0.6223388564314939</x:v>
      </x:c>
      <x:c r="L146" s="20" t="n">
        <x:v>0.09795687504347822</x:v>
      </x:c>
      <x:c r="M146" s="12" t="str">
        <x:v>focal</x:v>
      </x:c>
      <x:c r="N146" s="8" t="str">
        <x:v>Entrenamiento</x:v>
      </x:c>
      <x:c r="O146" s="8" t="str">
        <x:v>paper_baseline_v1</x:v>
      </x:c>
    </x:row>
    <x:row r="147" ht="23" customHeight="1">
      <x:c r="A147" s="2" t="str">
        <x:v>ConvNeXt</x:v>
      </x:c>
      <x:c r="B147" s="2" t="str">
        <x:v>Multiclase</x:v>
      </x:c>
      <x:c r="C147" s="17" t="n">
        <x:v>456</x:v>
      </x:c>
      <x:c r="D147" s="18" t="n">
        <x:v>0.8840814740743971</x:v>
      </x:c>
      <x:c r="E147" s="18" t="n">
        <x:v>0.6173913043478261</x:v>
      </x:c>
      <x:c r="F147" s="18" t="n">
        <x:v>0.5715811150223128</x:v>
      </x:c>
      <x:c r="G147" s="18" t="n">
        <x:v>0.5715811150223128</x:v>
      </x:c>
      <x:c r="H147" s="18" t="n">
        <x:v>0.5440863311477346</x:v>
      </x:c>
      <x:c r="I147" s="18" t="n">
        <x:v>0.5429757001563463</x:v>
      </x:c>
      <x:c r="J147" s="18" t="n">
        <x:v>0.617753987868999</x:v>
      </x:c>
      <x:c r="K147" s="18" t="n">
        <x:v>0.51617252161511</x:v>
      </x:c>
      <x:c r="L147" s="18" t="n">
        <x:v>0.11095577860869568</x:v>
      </x:c>
      <x:c r="M147" s="11" t="str">
        <x:v>focal</x:v>
      </x:c>
      <x:c r="N147" s="2" t="str">
        <x:v>Entrenamiento</x:v>
      </x:c>
      <x:c r="O147" s="2" t="str">
        <x:v>paper_baseline_v1</x:v>
      </x:c>
    </x:row>
    <x:row r="148" ht="23" customHeight="1">
      <x:c r="A148" s="8" t="str">
        <x:v>ConvNeXt</x:v>
      </x:c>
      <x:c r="B148" s="8" t="str">
        <x:v>Multiclase</x:v>
      </x:c>
      <x:c r="C148" s="19" t="n">
        <x:v>789</x:v>
      </x:c>
      <x:c r="D148" s="20" t="n">
        <x:v>0.8657453775073201</x:v>
      </x:c>
      <x:c r="E148" s="20" t="n">
        <x:v>0.6304347826086957</x:v>
      </x:c>
      <x:c r="F148" s="20" t="n">
        <x:v>0.5495030956386401</x:v>
      </x:c>
      <x:c r="G148" s="20" t="n">
        <x:v>0.5495030956386401</x:v>
      </x:c>
      <x:c r="H148" s="20" t="n">
        <x:v>0.5310618835246362</x:v>
      </x:c>
      <x:c r="I148" s="20" t="n">
        <x:v>0.5228783773718414</x:v>
      </x:c>
      <x:c r="J148" s="20" t="n">
        <x:v>0.5419125713954985</x:v>
      </x:c>
      <x:c r="K148" s="20" t="n">
        <x:v>0.5274437400149887</x:v>
      </x:c>
      <x:c r="L148" s="20" t="n">
        <x:v>0.08036576360869571</x:v>
      </x:c>
      <x:c r="M148" s="12" t="str">
        <x:v>focal</x:v>
      </x:c>
      <x:c r="N148" s="8" t="str">
        <x:v>Entrenamiento</x:v>
      </x:c>
      <x:c r="O148" s="8" t="str">
        <x:v>paper_baseline_v1</x:v>
      </x:c>
    </x:row>
    <x:row r="149" ht="23" customHeight="1">
      <x:c r="A149" s="2" t="str">
        <x:v>ConvNeXt</x:v>
      </x:c>
      <x:c r="B149" s="2" t="str">
        <x:v>Multiclase</x:v>
      </x:c>
      <x:c r="C149" s="17" t="n">
        <x:v>2024</x:v>
      </x:c>
      <x:c r="D149" s="18" t="n">
        <x:v>0.8684790170351354</x:v>
      </x:c>
      <x:c r="E149" s="18" t="n">
        <x:v>0.5043478260869565</x:v>
      </x:c>
      <x:c r="F149" s="18" t="n">
        <x:v>0.5075394157537626</x:v>
      </x:c>
      <x:c r="G149" s="18" t="n">
        <x:v>0.5075394157537626</x:v>
      </x:c>
      <x:c r="H149" s="18" t="n">
        <x:v>0.43774284195336827</x:v>
      </x:c>
      <x:c r="I149" s="18" t="n">
        <x:v>0.5146853549757361</x:v>
      </x:c>
      <x:c r="J149" s="18" t="n">
        <x:v>0.6377117359509771</x:v>
      </x:c>
      <x:c r="K149" s="18" t="n">
        <x:v>0.5956958121321424</x:v>
      </x:c>
      <x:c r="L149" s="18" t="n">
        <x:v>0.035697553521739145</x:v>
      </x:c>
      <x:c r="M149" s="11" t="str">
        <x:v>focal</x:v>
      </x:c>
      <x:c r="N149" s="2" t="str">
        <x:v>Entrenamiento</x:v>
      </x:c>
      <x:c r="O149" s="2" t="str">
        <x:v>paper_baseline_v1</x:v>
      </x:c>
    </x:row>
    <x:row r="150" ht="23" customHeight="1">
      <x:c r="A150" s="8" t="str">
        <x:v>CLIP + DINOv2</x:v>
      </x:c>
      <x:c r="B150" s="8" t="str">
        <x:v>Multiclase</x:v>
      </x:c>
      <x:c r="C150" s="19" t="n">
        <x:v>42</x:v>
      </x:c>
      <x:c r="D150" s="20" t="n">
        <x:v>0.9334528319312191</x:v>
      </x:c>
      <x:c r="E150" s="20" t="n">
        <x:v>0.7217391304347827</x:v>
      </x:c>
      <x:c r="F150" s="20" t="n">
        <x:v>0.6713641123356336</x:v>
      </x:c>
      <x:c r="G150" s="20" t="n">
        <x:v>0.6713641123356336</x:v>
      </x:c>
      <x:c r="H150" s="20" t="n">
        <x:v>0.63871427005224</x:v>
      </x:c>
      <x:c r="I150" s="20" t="n">
        <x:v>0.6290075523880438</x:v>
      </x:c>
      <x:c r="J150" s="20" t="n">
        <x:v>0.7192850414984125</x:v>
      </x:c>
      <x:c r="K150" s="20" t="n">
        <x:v>0.43823028604140474</x:v>
      </x:c>
      <x:c r="L150" s="20" t="n">
        <x:v>0.13804768930434783</x:v>
      </x:c>
      <x:c r="M150" s="12" t="str">
        <x:v>focal</x:v>
      </x:c>
      <x:c r="N150" s="8" t="str">
        <x:v>Entrenamiento</x:v>
      </x:c>
      <x:c r="O150" s="8" t="str">
        <x:v>paper_baseline_v1</x:v>
      </x:c>
    </x:row>
    <x:row r="151" ht="23" customHeight="1">
      <x:c r="A151" s="2" t="str">
        <x:v>CLIP + DINOv2</x:v>
      </x:c>
      <x:c r="B151" s="2" t="str">
        <x:v>Multiclase</x:v>
      </x:c>
      <x:c r="C151" s="17" t="n">
        <x:v>123</x:v>
      </x:c>
      <x:c r="D151" s="18" t="n">
        <x:v>0.917710811967558</x:v>
      </x:c>
      <x:c r="E151" s="18" t="n">
        <x:v>0.7304347826086957</x:v>
      </x:c>
      <x:c r="F151" s="18" t="n">
        <x:v>0.6321619091405305</x:v>
      </x:c>
      <x:c r="G151" s="18" t="n">
        <x:v>0.6321619091405305</x:v>
      </x:c>
      <x:c r="H151" s="18" t="n">
        <x:v>0.6365170663249485</x:v>
      </x:c>
      <x:c r="I151" s="18" t="n">
        <x:v>0.6483698542708222</x:v>
      </x:c>
      <x:c r="J151" s="18" t="n">
        <x:v>0.7183952158623228</x:v>
      </x:c>
      <x:c r="K151" s="18" t="n">
        <x:v>0.4154893103164612</x:v>
      </x:c>
      <x:c r="L151" s="18" t="n">
        <x:v>0.1500050679130435</x:v>
      </x:c>
      <x:c r="M151" s="11" t="str">
        <x:v>focal</x:v>
      </x:c>
      <x:c r="N151" s="2" t="str">
        <x:v>Entrenamiento</x:v>
      </x:c>
      <x:c r="O151" s="2" t="str">
        <x:v>paper_baseline_v1</x:v>
      </x:c>
    </x:row>
    <x:row r="152" ht="23" customHeight="1">
      <x:c r="A152" s="8" t="str">
        <x:v>CLIP + DINOv2</x:v>
      </x:c>
      <x:c r="B152" s="8" t="str">
        <x:v>Multiclase</x:v>
      </x:c>
      <x:c r="C152" s="19" t="n">
        <x:v>456</x:v>
      </x:c>
      <x:c r="D152" s="20" t="n">
        <x:v>0.9168466923215108</x:v>
      </x:c>
      <x:c r="E152" s="20" t="n">
        <x:v>0.7</x:v>
      </x:c>
      <x:c r="F152" s="20" t="n">
        <x:v>0.6685659555819443</x:v>
      </x:c>
      <x:c r="G152" s="20" t="n">
        <x:v>0.6685659555819443</x:v>
      </x:c>
      <x:c r="H152" s="20" t="n">
        <x:v>0.6416892362339449</x:v>
      </x:c>
      <x:c r="I152" s="20" t="n">
        <x:v>0.631059031059031</x:v>
      </x:c>
      <x:c r="J152" s="20" t="n">
        <x:v>0.6732901531839687</x:v>
      </x:c>
      <x:c r="K152" s="20" t="n">
        <x:v>0.44156776062556585</x:v>
      </x:c>
      <x:c r="L152" s="20" t="n">
        <x:v>0.11441547152173913</x:v>
      </x:c>
      <x:c r="M152" s="12" t="str">
        <x:v>focal</x:v>
      </x:c>
      <x:c r="N152" s="8" t="str">
        <x:v>Entrenamiento</x:v>
      </x:c>
      <x:c r="O152" s="8" t="str">
        <x:v>paper_baseline_v1</x:v>
      </x:c>
    </x:row>
    <x:row r="153" ht="23" customHeight="1">
      <x:c r="A153" s="2" t="str">
        <x:v>CLIP + DINOv2</x:v>
      </x:c>
      <x:c r="B153" s="2" t="str">
        <x:v>Multiclase</x:v>
      </x:c>
      <x:c r="C153" s="17" t="n">
        <x:v>789</x:v>
      </x:c>
      <x:c r="D153" s="18" t="n">
        <x:v>0.9041721889593526</x:v>
      </x:c>
      <x:c r="E153" s="18" t="n">
        <x:v>0.6086956521739131</x:v>
      </x:c>
      <x:c r="F153" s="18" t="n">
        <x:v>0.5824144264771518</x:v>
      </x:c>
      <x:c r="G153" s="18" t="n">
        <x:v>0.5824144264771518</x:v>
      </x:c>
      <x:c r="H153" s="18" t="n">
        <x:v>0.5850274061518513</x:v>
      </x:c>
      <x:c r="I153" s="18" t="n">
        <x:v>0.6309342393240699</x:v>
      </x:c>
      <x:c r="J153" s="18" t="n">
        <x:v>0.6736705217881697</x:v>
      </x:c>
      <x:c r="K153" s="18" t="n">
        <x:v>0.5117077226658346</x:v>
      </x:c>
      <x:c r="L153" s="18" t="n">
        <x:v>0.09449572182608702</x:v>
      </x:c>
      <x:c r="M153" s="11" t="str">
        <x:v>focal</x:v>
      </x:c>
      <x:c r="N153" s="2" t="str">
        <x:v>Entrenamiento</x:v>
      </x:c>
      <x:c r="O153" s="2" t="str">
        <x:v>paper_baseline_v1</x:v>
      </x:c>
    </x:row>
    <x:row r="154" ht="23" customHeight="1">
      <x:c r="A154" s="8" t="str">
        <x:v>CLIP + DINOv2</x:v>
      </x:c>
      <x:c r="B154" s="8" t="str">
        <x:v>Multiclase</x:v>
      </x:c>
      <x:c r="C154" s="19" t="n">
        <x:v>2024</x:v>
      </x:c>
      <x:c r="D154" s="20" t="n">
        <x:v>0.920997035846781</x:v>
      </x:c>
      <x:c r="E154" s="20" t="n">
        <x:v>0.6391304347826087</x:v>
      </x:c>
      <x:c r="F154" s="20" t="n">
        <x:v>0.6658300219244464</x:v>
      </x:c>
      <x:c r="G154" s="20" t="n">
        <x:v>0.6658300219244464</x:v>
      </x:c>
      <x:c r="H154" s="20" t="n">
        <x:v>0.6001718121756381</x:v>
      </x:c>
      <x:c r="I154" s="20" t="n">
        <x:v>0.6240327466035013</x:v>
      </x:c>
      <x:c r="J154" s="20" t="n">
        <x:v>0.7228315594086322</x:v>
      </x:c>
      <x:c r="K154" s="20" t="n">
        <x:v>0.4591857269599873</x:v>
      </x:c>
      <x:c r="L154" s="20" t="n">
        <x:v>0.08567997021739127</x:v>
      </x:c>
      <x:c r="M154" s="12" t="str">
        <x:v>focal</x:v>
      </x:c>
      <x:c r="N154" s="8" t="str">
        <x:v>Entrenamiento</x:v>
      </x:c>
      <x:c r="O154" s="8" t="str">
        <x:v>paper_baseline_v1</x:v>
      </x:c>
    </x:row>
    <x:row r="155" ht="23" customHeight="1">
      <x:c r="A155" s="2" t="str">
        <x:v>CLIP + metadata</x:v>
      </x:c>
      <x:c r="B155" s="2" t="str">
        <x:v>Multiclase</x:v>
      </x:c>
      <x:c r="C155" s="17" t="n">
        <x:v>42</x:v>
      </x:c>
      <x:c r="D155" s="18" t="n">
        <x:v>0.9462104044836247</x:v>
      </x:c>
      <x:c r="E155" s="18" t="n">
        <x:v>0.7652173913043478</x:v>
      </x:c>
      <x:c r="F155" s="18" t="n">
        <x:v>0.707467813369039</x:v>
      </x:c>
      <x:c r="G155" s="18" t="n">
        <x:v>0.707467813369039</x:v>
      </x:c>
      <x:c r="H155" s="18" t="n">
        <x:v>0.6655391351943077</x:v>
      </x:c>
      <x:c r="I155" s="18" t="n">
        <x:v>0.6608475783475783</x:v>
      </x:c>
      <x:c r="J155" s="18" t="n">
        <x:v>0.7137728006316175</x:v>
      </x:c>
      <x:c r="K155" s="18" t="n">
        <x:v>0.367468304774518</x:v>
      </x:c>
      <x:c r="L155" s="18" t="n">
        <x:v>0.1021017604347826</x:v>
      </x:c>
      <x:c r="M155" s="11" t="str">
        <x:v>focal</x:v>
      </x:c>
      <x:c r="N155" s="2" t="str">
        <x:v>Entrenamiento</x:v>
      </x:c>
      <x:c r="O155" s="2" t="str">
        <x:v>paper_baseline_v1</x:v>
      </x:c>
    </x:row>
    <x:row r="156" ht="23" customHeight="1">
      <x:c r="A156" s="8" t="str">
        <x:v>CLIP + metadata</x:v>
      </x:c>
      <x:c r="B156" s="8" t="str">
        <x:v>Multiclase</x:v>
      </x:c>
      <x:c r="C156" s="19" t="n">
        <x:v>123</x:v>
      </x:c>
      <x:c r="D156" s="20" t="n">
        <x:v>0.9333770962256848</x:v>
      </x:c>
      <x:c r="E156" s="20" t="n">
        <x:v>0.6826086956521739</x:v>
      </x:c>
      <x:c r="F156" s="20" t="n">
        <x:v>0.6970711571463899</x:v>
      </x:c>
      <x:c r="G156" s="20" t="n">
        <x:v>0.6970711571463899</x:v>
      </x:c>
      <x:c r="H156" s="20" t="n">
        <x:v>0.6869348570052796</x:v>
      </x:c>
      <x:c r="I156" s="20" t="n">
        <x:v>0.7126471097532364</x:v>
      </x:c>
      <x:c r="J156" s="20" t="n">
        <x:v>0.7907206256084169</x:v>
      </x:c>
      <x:c r="K156" s="20" t="n">
        <x:v>0.3929255418690858</x:v>
      </x:c>
      <x:c r="L156" s="20" t="n">
        <x:v>0.08561535982608695</x:v>
      </x:c>
      <x:c r="M156" s="12" t="str">
        <x:v>focal</x:v>
      </x:c>
      <x:c r="N156" s="8" t="str">
        <x:v>Entrenamiento</x:v>
      </x:c>
      <x:c r="O156" s="8" t="str">
        <x:v>paper_baseline_v1</x:v>
      </x:c>
    </x:row>
    <x:row r="157" ht="23" customHeight="1">
      <x:c r="A157" s="2" t="str">
        <x:v>CLIP + metadata</x:v>
      </x:c>
      <x:c r="B157" s="2" t="str">
        <x:v>Multiclase</x:v>
      </x:c>
      <x:c r="C157" s="17" t="n">
        <x:v>456</x:v>
      </x:c>
      <x:c r="D157" s="18" t="n">
        <x:v>0.9218296746233524</x:v>
      </x:c>
      <x:c r="E157" s="18" t="n">
        <x:v>0.7565217391304347</x:v>
      </x:c>
      <x:c r="F157" s="18" t="n">
        <x:v>0.6948072319531033</x:v>
      </x:c>
      <x:c r="G157" s="18" t="n">
        <x:v>0.6948072319531033</x:v>
      </x:c>
      <x:c r="H157" s="18" t="n">
        <x:v>0.6733931980075263</x:v>
      </x:c>
      <x:c r="I157" s="18" t="n">
        <x:v>0.6814743589743589</x:v>
      </x:c>
      <x:c r="J157" s="18" t="n">
        <x:v>0.7157142177824434</x:v>
      </x:c>
      <x:c r="K157" s="18" t="n">
        <x:v>0.3728817647809768</x:v>
      </x:c>
      <x:c r="L157" s="18" t="n">
        <x:v>0.11475921895652176</x:v>
      </x:c>
      <x:c r="M157" s="11" t="str">
        <x:v>focal</x:v>
      </x:c>
      <x:c r="N157" s="2" t="str">
        <x:v>Entrenamiento</x:v>
      </x:c>
      <x:c r="O157" s="2" t="str">
        <x:v>paper_baseline_v1</x:v>
      </x:c>
    </x:row>
    <x:row r="158" ht="23" customHeight="1">
      <x:c r="A158" s="8" t="str">
        <x:v>CLIP + metadata</x:v>
      </x:c>
      <x:c r="B158" s="8" t="str">
        <x:v>Multiclase</x:v>
      </x:c>
      <x:c r="C158" s="19" t="n">
        <x:v>789</x:v>
      </x:c>
      <x:c r="D158" s="20" t="n">
        <x:v>0.9318637814748542</x:v>
      </x:c>
      <x:c r="E158" s="20" t="n">
        <x:v>0.6565217391304348</x:v>
      </x:c>
      <x:c r="F158" s="20" t="n">
        <x:v>0.736521583639464</x:v>
      </x:c>
      <x:c r="G158" s="20" t="n">
        <x:v>0.736521583639464</x:v>
      </x:c>
      <x:c r="H158" s="20" t="n">
        <x:v>0.702260153713642</x:v>
      </x:c>
      <x:c r="I158" s="20" t="n">
        <x:v>0.7442036038734151</x:v>
      </x:c>
      <x:c r="J158" s="20" t="n">
        <x:v>0.7952125857981894</x:v>
      </x:c>
      <x:c r="K158" s="20" t="n">
        <x:v>0.4268370920352914</x:v>
      </x:c>
      <x:c r="L158" s="20" t="n">
        <x:v>0.04269491943478257</x:v>
      </x:c>
      <x:c r="M158" s="12" t="str">
        <x:v>focal</x:v>
      </x:c>
      <x:c r="N158" s="8" t="str">
        <x:v>Entrenamiento</x:v>
      </x:c>
      <x:c r="O158" s="8" t="str">
        <x:v>paper_baseline_v1</x:v>
      </x:c>
    </x:row>
    <x:row r="159" ht="23" customHeight="1">
      <x:c r="A159" s="2" t="str">
        <x:v>CLIP + metadata</x:v>
      </x:c>
      <x:c r="B159" s="2" t="str">
        <x:v>Multiclase</x:v>
      </x:c>
      <x:c r="C159" s="17" t="n">
        <x:v>2024</x:v>
      </x:c>
      <x:c r="D159" s="18" t="n">
        <x:v>0.939732833535083</x:v>
      </x:c>
      <x:c r="E159" s="18" t="n">
        <x:v>0.7043478260869566</x:v>
      </x:c>
      <x:c r="F159" s="18" t="n">
        <x:v>0.7118301903376315</x:v>
      </x:c>
      <x:c r="G159" s="18" t="n">
        <x:v>0.7118301903376315</x:v>
      </x:c>
      <x:c r="H159" s="18" t="n">
        <x:v>0.6521164549175753</x:v>
      </x:c>
      <x:c r="I159" s="18" t="n">
        <x:v>0.6588525581370598</x:v>
      </x:c>
      <x:c r="J159" s="18" t="n">
        <x:v>0.6823020817360727</x:v>
      </x:c>
      <x:c r="K159" s="18" t="n">
        <x:v>0.40405447025835955</x:v>
      </x:c>
      <x:c r="L159" s="18" t="n">
        <x:v>0.11252787104347821</x:v>
      </x:c>
      <x:c r="M159" s="11" t="str">
        <x:v>focal</x:v>
      </x:c>
      <x:c r="N159" s="2" t="str">
        <x:v>Entrenamiento</x:v>
      </x:c>
      <x:c r="O159" s="2" t="str">
        <x:v>paper_baseline_v1</x:v>
      </x:c>
    </x:row>
    <x:row r="160" ht="23" customHeight="1">
      <x:c r="A160" s="8" t="str">
        <x:v>DINOv2 + metadata</x:v>
      </x:c>
      <x:c r="B160" s="8" t="str">
        <x:v>Multiclase</x:v>
      </x:c>
      <x:c r="C160" s="19" t="n">
        <x:v>42</x:v>
      </x:c>
      <x:c r="D160" s="20" t="n">
        <x:v>0.946233314511843</x:v>
      </x:c>
      <x:c r="E160" s="20" t="n">
        <x:v>0.7869565217391304</x:v>
      </x:c>
      <x:c r="F160" s="20" t="n">
        <x:v>0.6932606344628695</x:v>
      </x:c>
      <x:c r="G160" s="20" t="n">
        <x:v>0.6932606344628695</x:v>
      </x:c>
      <x:c r="H160" s="20" t="n">
        <x:v>0.6753971830167401</x:v>
      </x:c>
      <x:c r="I160" s="20" t="n">
        <x:v>0.67285801069678</x:v>
      </x:c>
      <x:c r="J160" s="20" t="n">
        <x:v>0.7356499135593927</x:v>
      </x:c>
      <x:c r="K160" s="20" t="n">
        <x:v>0.33616941295990677</x:v>
      </x:c>
      <x:c r="L160" s="20" t="n">
        <x:v>0.09127045421739127</x:v>
      </x:c>
      <x:c r="M160" s="12" t="str">
        <x:v>focal</x:v>
      </x:c>
      <x:c r="N160" s="8" t="str">
        <x:v>Entrenamiento</x:v>
      </x:c>
      <x:c r="O160" s="8" t="str">
        <x:v>paper_baseline_v1</x:v>
      </x:c>
    </x:row>
    <x:row r="161" ht="23" customHeight="1">
      <x:c r="A161" s="2" t="str">
        <x:v>DINOv2 + metadata</x:v>
      </x:c>
      <x:c r="B161" s="2" t="str">
        <x:v>Multiclase</x:v>
      </x:c>
      <x:c r="C161" s="17" t="n">
        <x:v>123</x:v>
      </x:c>
      <x:c r="D161" s="18" t="n">
        <x:v>0.923663902261179</x:v>
      </x:c>
      <x:c r="E161" s="18" t="n">
        <x:v>0.6478260869565218</x:v>
      </x:c>
      <x:c r="F161" s="18" t="n">
        <x:v>0.6979074448081688</x:v>
      </x:c>
      <x:c r="G161" s="18" t="n">
        <x:v>0.6979074448081688</x:v>
      </x:c>
      <x:c r="H161" s="18" t="n">
        <x:v>0.6525410020582304</x:v>
      </x:c>
      <x:c r="I161" s="18" t="n">
        <x:v>0.6616442026358497</x:v>
      </x:c>
      <x:c r="J161" s="18" t="n">
        <x:v>0.7632454561318189</x:v>
      </x:c>
      <x:c r="K161" s="18" t="n">
        <x:v>0.42233538668746806</x:v>
      </x:c>
      <x:c r="L161" s="18" t="n">
        <x:v>0.08000141417391303</x:v>
      </x:c>
      <x:c r="M161" s="11" t="str">
        <x:v>focal</x:v>
      </x:c>
      <x:c r="N161" s="2" t="str">
        <x:v>Entrenamiento</x:v>
      </x:c>
      <x:c r="O161" s="2" t="str">
        <x:v>paper_baseline_v1</x:v>
      </x:c>
    </x:row>
    <x:row r="162" ht="23" customHeight="1">
      <x:c r="A162" s="8" t="str">
        <x:v>DINOv2 + metadata</x:v>
      </x:c>
      <x:c r="B162" s="8" t="str">
        <x:v>Multiclase</x:v>
      </x:c>
      <x:c r="C162" s="19" t="n">
        <x:v>456</x:v>
      </x:c>
      <x:c r="D162" s="20" t="n">
        <x:v>0.9241020835216</x:v>
      </x:c>
      <x:c r="E162" s="20" t="n">
        <x:v>0.7347826086956522</x:v>
      </x:c>
      <x:c r="F162" s="20" t="n">
        <x:v>0.6101410859945997</x:v>
      </x:c>
      <x:c r="G162" s="20" t="n">
        <x:v>0.6101410859945997</x:v>
      </x:c>
      <x:c r="H162" s="20" t="n">
        <x:v>0.6029699038616144</x:v>
      </x:c>
      <x:c r="I162" s="20" t="n">
        <x:v>0.6003625878625879</x:v>
      </x:c>
      <x:c r="J162" s="20" t="n">
        <x:v>0.7050475651538467</x:v>
      </x:c>
      <x:c r="K162" s="20" t="n">
        <x:v>0.3565843631918924</x:v>
      </x:c>
      <x:c r="L162" s="20" t="n">
        <x:v>0.13826494634782613</x:v>
      </x:c>
      <x:c r="M162" s="12" t="str">
        <x:v>focal</x:v>
      </x:c>
      <x:c r="N162" s="8" t="str">
        <x:v>Entrenamiento</x:v>
      </x:c>
      <x:c r="O162" s="8" t="str">
        <x:v>paper_baseline_v1</x:v>
      </x:c>
    </x:row>
    <x:row r="163" ht="23" customHeight="1">
      <x:c r="A163" s="2" t="str">
        <x:v>DINOv2 + metadata</x:v>
      </x:c>
      <x:c r="B163" s="2" t="str">
        <x:v>Multiclase</x:v>
      </x:c>
      <x:c r="C163" s="17" t="n">
        <x:v>789</x:v>
      </x:c>
      <x:c r="D163" s="18" t="n">
        <x:v>0.9159431824176826</x:v>
      </x:c>
      <x:c r="E163" s="18" t="n">
        <x:v>0.6956521739130435</x:v>
      </x:c>
      <x:c r="F163" s="18" t="n">
        <x:v>0.7431362367104977</x:v>
      </x:c>
      <x:c r="G163" s="18" t="n">
        <x:v>0.7431362367104977</x:v>
      </x:c>
      <x:c r="H163" s="18" t="n">
        <x:v>0.7088458898233879</x:v>
      </x:c>
      <x:c r="I163" s="18" t="n">
        <x:v>0.7190029415029415</x:v>
      </x:c>
      <x:c r="J163" s="18" t="n">
        <x:v>0.7379948049921614</x:v>
      </x:c>
      <x:c r="K163" s="18" t="n">
        <x:v>0.44351747656034773</x:v>
      </x:c>
      <x:c r="L163" s="18" t="n">
        <x:v>0.0830518041739131</x:v>
      </x:c>
      <x:c r="M163" s="11" t="str">
        <x:v>focal</x:v>
      </x:c>
      <x:c r="N163" s="2" t="str">
        <x:v>Entrenamiento</x:v>
      </x:c>
      <x:c r="O163" s="2" t="str">
        <x:v>paper_baseline_v1</x:v>
      </x:c>
    </x:row>
    <x:row r="164" ht="23" customHeight="1">
      <x:c r="A164" s="8" t="str">
        <x:v>DINOv2 + metadata</x:v>
      </x:c>
      <x:c r="B164" s="8" t="str">
        <x:v>Multiclase</x:v>
      </x:c>
      <x:c r="C164" s="19" t="n">
        <x:v>2024</x:v>
      </x:c>
      <x:c r="D164" s="20" t="n">
        <x:v>0.9348279850832256</x:v>
      </x:c>
      <x:c r="E164" s="20" t="n">
        <x:v>0.7304347826086957</x:v>
      </x:c>
      <x:c r="F164" s="20" t="n">
        <x:v>0.6592617478952961</x:v>
      </x:c>
      <x:c r="G164" s="20" t="n">
        <x:v>0.6592617478952961</x:v>
      </x:c>
      <x:c r="H164" s="20" t="n">
        <x:v>0.6351170434503768</x:v>
      </x:c>
      <x:c r="I164" s="20" t="n">
        <x:v>0.6404597258495023</x:v>
      </x:c>
      <x:c r="J164" s="20" t="n">
        <x:v>0.6741422008182659</x:v>
      </x:c>
      <x:c r="K164" s="20" t="n">
        <x:v>0.4243973503048545</x:v>
      </x:c>
      <x:c r="L164" s="20" t="n">
        <x:v>0.139489708173913</x:v>
      </x:c>
      <x:c r="M164" s="12" t="str">
        <x:v>focal</x:v>
      </x:c>
      <x:c r="N164" s="8" t="str">
        <x:v>Entrenamiento</x:v>
      </x:c>
      <x:c r="O164" s="8" t="str">
        <x:v>paper_baseline_v1</x:v>
      </x:c>
    </x:row>
    <x:row r="165" ht="23" customHeight="1">
      <x:c r="A165" s="2" t="str">
        <x:v>ConvNeXt + metadata</x:v>
      </x:c>
      <x:c r="B165" s="2" t="str">
        <x:v>Multiclase</x:v>
      </x:c>
      <x:c r="C165" s="17" t="n">
        <x:v>42</x:v>
      </x:c>
      <x:c r="D165" s="18" t="n">
        <x:v>0.9347974714225642</x:v>
      </x:c>
      <x:c r="E165" s="18" t="n">
        <x:v>0.7347826086956522</x:v>
      </x:c>
      <x:c r="F165" s="18" t="n">
        <x:v>0.6257086208672366</x:v>
      </x:c>
      <x:c r="G165" s="18" t="n">
        <x:v>0.6257086208672366</x:v>
      </x:c>
      <x:c r="H165" s="18" t="n">
        <x:v>0.6033738219270098</x:v>
      </x:c>
      <x:c r="I165" s="18" t="n">
        <x:v>0.6069236552210542</x:v>
      </x:c>
      <x:c r="J165" s="18" t="n">
        <x:v>0.6793676456759669</x:v>
      </x:c>
      <x:c r="K165" s="18" t="n">
        <x:v>0.3752576909055832</x:v>
      </x:c>
      <x:c r="L165" s="18" t="n">
        <x:v>0.07721878252173912</x:v>
      </x:c>
      <x:c r="M165" s="11" t="str">
        <x:v>focal</x:v>
      </x:c>
      <x:c r="N165" s="2" t="str">
        <x:v>Entrenamiento</x:v>
      </x:c>
      <x:c r="O165" s="2" t="str">
        <x:v>paper_baseline_v1</x:v>
      </x:c>
    </x:row>
    <x:row r="166" ht="23" customHeight="1">
      <x:c r="A166" s="8" t="str">
        <x:v>ConvNeXt + metadata</x:v>
      </x:c>
      <x:c r="B166" s="8" t="str">
        <x:v>Multiclase</x:v>
      </x:c>
      <x:c r="C166" s="19" t="n">
        <x:v>123</x:v>
      </x:c>
      <x:c r="D166" s="20" t="n">
        <x:v>0.9266618161207383</x:v>
      </x:c>
      <x:c r="E166" s="20" t="n">
        <x:v>0.7478260869565218</x:v>
      </x:c>
      <x:c r="F166" s="20" t="n">
        <x:v>0.6879426778182304</x:v>
      </x:c>
      <x:c r="G166" s="20" t="n">
        <x:v>0.6879426778182304</x:v>
      </x:c>
      <x:c r="H166" s="20" t="n">
        <x:v>0.6852382108047218</x:v>
      </x:c>
      <x:c r="I166" s="20" t="n">
        <x:v>0.7104828042328042</x:v>
      </x:c>
      <x:c r="J166" s="20" t="n">
        <x:v>0.732473200858705</x:v>
      </x:c>
      <x:c r="K166" s="20" t="n">
        <x:v>0.3637875187242272</x:v>
      </x:c>
      <x:c r="L166" s="20" t="n">
        <x:v>0.05990912343478255</x:v>
      </x:c>
      <x:c r="M166" s="12" t="str">
        <x:v>focal</x:v>
      </x:c>
      <x:c r="N166" s="8" t="str">
        <x:v>Entrenamiento</x:v>
      </x:c>
      <x:c r="O166" s="8" t="str">
        <x:v>paper_baseline_v1</x:v>
      </x:c>
    </x:row>
    <x:row r="167" ht="23" customHeight="1">
      <x:c r="A167" s="2" t="str">
        <x:v>ConvNeXt + metadata</x:v>
      </x:c>
      <x:c r="B167" s="2" t="str">
        <x:v>Multiclase</x:v>
      </x:c>
      <x:c r="C167" s="17" t="n">
        <x:v>456</x:v>
      </x:c>
      <x:c r="D167" s="18" t="n">
        <x:v>0.8958316525962617</x:v>
      </x:c>
      <x:c r="E167" s="18" t="n">
        <x:v>0.6043478260869565</x:v>
      </x:c>
      <x:c r="F167" s="18" t="n">
        <x:v>0.5959142669324399</x:v>
      </x:c>
      <x:c r="G167" s="18" t="n">
        <x:v>0.5959142669324399</x:v>
      </x:c>
      <x:c r="H167" s="18" t="n">
        <x:v>0.5248452078317439</x:v>
      </x:c>
      <x:c r="I167" s="18" t="n">
        <x:v>0.5637097251836058</x:v>
      </x:c>
      <x:c r="J167" s="18" t="n">
        <x:v>0.6254480609009845</x:v>
      </x:c>
      <x:c r="K167" s="18" t="n">
        <x:v>0.5098830142487545</x:v>
      </x:c>
      <x:c r="L167" s="18" t="n">
        <x:v>0.14559760669565217</x:v>
      </x:c>
      <x:c r="M167" s="11" t="str">
        <x:v>focal</x:v>
      </x:c>
      <x:c r="N167" s="2" t="str">
        <x:v>Entrenamiento</x:v>
      </x:c>
      <x:c r="O167" s="2" t="str">
        <x:v>paper_baseline_v1</x:v>
      </x:c>
    </x:row>
    <x:row r="168" ht="23" customHeight="1">
      <x:c r="A168" s="8" t="str">
        <x:v>ConvNeXt + metadata</x:v>
      </x:c>
      <x:c r="B168" s="8" t="str">
        <x:v>Multiclase</x:v>
      </x:c>
      <x:c r="C168" s="19" t="n">
        <x:v>789</x:v>
      </x:c>
      <x:c r="D168" s="20" t="n">
        <x:v>0.9163082334551144</x:v>
      </x:c>
      <x:c r="E168" s="20" t="n">
        <x:v>0.691304347826087</x:v>
      </x:c>
      <x:c r="F168" s="20" t="n">
        <x:v>0.6839523466199746</x:v>
      </x:c>
      <x:c r="G168" s="20" t="n">
        <x:v>0.6839523466199746</x:v>
      </x:c>
      <x:c r="H168" s="20" t="n">
        <x:v>0.668041860756125</x:v>
      </x:c>
      <x:c r="I168" s="20" t="n">
        <x:v>0.6780106697999685</x:v>
      </x:c>
      <x:c r="J168" s="20" t="n">
        <x:v>0.7360925189203488</x:v>
      </x:c>
      <x:c r="K168" s="20" t="n">
        <x:v>0.4153827247198277</x:v>
      </x:c>
      <x:c r="L168" s="20" t="n">
        <x:v>0.037070029347826036</x:v>
      </x:c>
      <x:c r="M168" s="12" t="str">
        <x:v>focal</x:v>
      </x:c>
      <x:c r="N168" s="8" t="str">
        <x:v>Entrenamiento</x:v>
      </x:c>
      <x:c r="O168" s="8" t="str">
        <x:v>paper_baseline_v1</x:v>
      </x:c>
    </x:row>
    <x:row r="169" ht="23" customHeight="1">
      <x:c r="A169" s="2" t="str">
        <x:v>ConvNeXt + metadata</x:v>
      </x:c>
      <x:c r="B169" s="2" t="str">
        <x:v>Multiclase</x:v>
      </x:c>
      <x:c r="C169" s="17" t="n">
        <x:v>2024</x:v>
      </x:c>
      <x:c r="D169" s="18" t="n">
        <x:v>0.9299380501034972</x:v>
      </x:c>
      <x:c r="E169" s="18" t="n">
        <x:v>0.6695652173913044</x:v>
      </x:c>
      <x:c r="F169" s="18" t="n">
        <x:v>0.6535123676127923</x:v>
      </x:c>
      <x:c r="G169" s="18" t="n">
        <x:v>0.6535123676127923</x:v>
      </x:c>
      <x:c r="H169" s="18" t="n">
        <x:v>0.6072224474460847</x:v>
      </x:c>
      <x:c r="I169" s="18" t="n">
        <x:v>0.627093383899528</x:v>
      </x:c>
      <x:c r="J169" s="18" t="n">
        <x:v>0.6341538650197421</x:v>
      </x:c>
      <x:c r="K169" s="18" t="n">
        <x:v>0.44876256829592914</x:v>
      </x:c>
      <x:c r="L169" s="18" t="n">
        <x:v>0.06255699617391305</x:v>
      </x:c>
      <x:c r="M169" s="11" t="str">
        <x:v>focal</x:v>
      </x:c>
      <x:c r="N169" s="2" t="str">
        <x:v>Entrenamiento</x:v>
      </x:c>
      <x:c r="O169" s="2" t="str">
        <x:v>paper_baseline_v1</x:v>
      </x:c>
    </x:row>
    <x:row r="170" ht="23" customHeight="1">
      <x:c r="A170" s="8" t="str">
        <x:v>A: CLIP + DINOv2 + metadata</x:v>
      </x:c>
      <x:c r="B170" s="8" t="str">
        <x:v>Multiclase</x:v>
      </x:c>
      <x:c r="C170" s="19" t="n">
        <x:v>42</x:v>
      </x:c>
      <x:c r="D170" s="20" t="n">
        <x:v>0.9482282739082856</x:v>
      </x:c>
      <x:c r="E170" s="20" t="n">
        <x:v>0.7695652173913043</x:v>
      </x:c>
      <x:c r="F170" s="20" t="n">
        <x:v>0.6503700747302045</x:v>
      </x:c>
      <x:c r="G170" s="20" t="n">
        <x:v>0.6503700747302045</x:v>
      </x:c>
      <x:c r="H170" s="20" t="n">
        <x:v>0.6325453859532338</x:v>
      </x:c>
      <x:c r="I170" s="20" t="n">
        <x:v>0.6395025903337924</x:v>
      </x:c>
      <x:c r="J170" s="20" t="n">
        <x:v>0.7281614827410999</x:v>
      </x:c>
      <x:c r="K170" s="20" t="n">
        <x:v>0.39396675451858776</x:v>
      </x:c>
      <x:c r="L170" s="20" t="n">
        <x:v>0.21149326813043476</x:v>
      </x:c>
      <x:c r="M170" s="12" t="str">
        <x:v>focal</x:v>
      </x:c>
      <x:c r="N170" s="8" t="str">
        <x:v>Entrenamiento</x:v>
      </x:c>
      <x:c r="O170" s="8" t="str">
        <x:v>paper_baseline_v1</x:v>
      </x:c>
    </x:row>
    <x:row r="171" ht="23" customHeight="1">
      <x:c r="A171" s="2" t="str">
        <x:v>A: CLIP + DINOv2 + metadata</x:v>
      </x:c>
      <x:c r="B171" s="2" t="str">
        <x:v>Multiclase</x:v>
      </x:c>
      <x:c r="C171" s="17" t="n">
        <x:v>123</x:v>
      </x:c>
      <x:c r="D171" s="18" t="n">
        <x:v>0.9335001843840239</x:v>
      </x:c>
      <x:c r="E171" s="18" t="n">
        <x:v>0.6869565217391305</x:v>
      </x:c>
      <x:c r="F171" s="18" t="n">
        <x:v>0.7377776757757007</x:v>
      </x:c>
      <x:c r="G171" s="18" t="n">
        <x:v>0.7377776757757007</x:v>
      </x:c>
      <x:c r="H171" s="18" t="n">
        <x:v>0.7101709118272265</x:v>
      </x:c>
      <x:c r="I171" s="18" t="n">
        <x:v>0.7284218012654278</x:v>
      </x:c>
      <x:c r="J171" s="18" t="n">
        <x:v>0.7917743824014583</x:v>
      </x:c>
      <x:c r="K171" s="18" t="n">
        <x:v>0.3916033997890951</x:v>
      </x:c>
      <x:c r="L171" s="18" t="n">
        <x:v>0.07142025017391303</x:v>
      </x:c>
      <x:c r="M171" s="11" t="str">
        <x:v>focal</x:v>
      </x:c>
      <x:c r="N171" s="2" t="str">
        <x:v>Entrenamiento</x:v>
      </x:c>
      <x:c r="O171" s="2" t="str">
        <x:v>paper_baseline_v1</x:v>
      </x:c>
    </x:row>
    <x:row r="172" ht="23" customHeight="1">
      <x:c r="A172" s="8" t="str">
        <x:v>A: CLIP + DINOv2 + metadata</x:v>
      </x:c>
      <x:c r="B172" s="8" t="str">
        <x:v>Multiclase</x:v>
      </x:c>
      <x:c r="C172" s="19" t="n">
        <x:v>456</x:v>
      </x:c>
      <x:c r="D172" s="20" t="n">
        <x:v>0.9354564520230829</x:v>
      </x:c>
      <x:c r="E172" s="20" t="n">
        <x:v>0.7782608695652173</x:v>
      </x:c>
      <x:c r="F172" s="20" t="n">
        <x:v>0.6999843905358345</x:v>
      </x:c>
      <x:c r="G172" s="20" t="n">
        <x:v>0.6999843905358345</x:v>
      </x:c>
      <x:c r="H172" s="20" t="n">
        <x:v>0.6945320640333429</x:v>
      </x:c>
      <x:c r="I172" s="20" t="n">
        <x:v>0.6986514749047181</x:v>
      </x:c>
      <x:c r="J172" s="20" t="n">
        <x:v>0.7172604471606844</x:v>
      </x:c>
      <x:c r="K172" s="20" t="n">
        <x:v>0.34467617351928775</x:v>
      </x:c>
      <x:c r="L172" s="20" t="n">
        <x:v>0.06556065156521743</x:v>
      </x:c>
      <x:c r="M172" s="12" t="str">
        <x:v>focal</x:v>
      </x:c>
      <x:c r="N172" s="8" t="str">
        <x:v>Entrenamiento</x:v>
      </x:c>
      <x:c r="O172" s="8" t="str">
        <x:v>paper_baseline_v1</x:v>
      </x:c>
    </x:row>
    <x:row r="173" ht="23" customHeight="1">
      <x:c r="A173" s="2" t="str">
        <x:v>A: CLIP + DINOv2 + metadata</x:v>
      </x:c>
      <x:c r="B173" s="2" t="str">
        <x:v>Multiclase</x:v>
      </x:c>
      <x:c r="C173" s="17" t="n">
        <x:v>789</x:v>
      </x:c>
      <x:c r="D173" s="18" t="n">
        <x:v>0.9277084595161634</x:v>
      </x:c>
      <x:c r="E173" s="18" t="n">
        <x:v>0.717391304347826</x:v>
      </x:c>
      <x:c r="F173" s="18" t="n">
        <x:v>0.7403233826575571</x:v>
      </x:c>
      <x:c r="G173" s="18" t="n">
        <x:v>0.7403233826575571</x:v>
      </x:c>
      <x:c r="H173" s="18" t="n">
        <x:v>0.7153206157430194</x:v>
      </x:c>
      <x:c r="I173" s="18" t="n">
        <x:v>0.7161165286165286</x:v>
      </x:c>
      <x:c r="J173" s="18" t="n">
        <x:v>0.7858753604010698</x:v>
      </x:c>
      <x:c r="K173" s="18" t="n">
        <x:v>0.38107089714706016</x:v>
      </x:c>
      <x:c r="L173" s="18" t="n">
        <x:v>0.028310970043478295</x:v>
      </x:c>
      <x:c r="M173" s="11" t="str">
        <x:v>focal</x:v>
      </x:c>
      <x:c r="N173" s="2" t="str">
        <x:v>Entrenamiento</x:v>
      </x:c>
      <x:c r="O173" s="2" t="str">
        <x:v>paper_baseline_v1</x:v>
      </x:c>
    </x:row>
    <x:row r="174" ht="23" customHeight="1">
      <x:c r="A174" s="8" t="str">
        <x:v>A: CLIP + DINOv2 + metadata</x:v>
      </x:c>
      <x:c r="B174" s="8" t="str">
        <x:v>Multiclase</x:v>
      </x:c>
      <x:c r="C174" s="19" t="n">
        <x:v>2024</x:v>
      </x:c>
      <x:c r="D174" s="20" t="n">
        <x:v>0.9456297708627388</x:v>
      </x:c>
      <x:c r="E174" s="20" t="n">
        <x:v>0.7391304347826086</x:v>
      </x:c>
      <x:c r="F174" s="20" t="n">
        <x:v>0.7272801946708904</x:v>
      </x:c>
      <x:c r="G174" s="20" t="n">
        <x:v>0.7272801946708904</x:v>
      </x:c>
      <x:c r="H174" s="20" t="n">
        <x:v>0.6824871034286478</x:v>
      </x:c>
      <x:c r="I174" s="20" t="n">
        <x:v>0.689166690329481</x:v>
      </x:c>
      <x:c r="J174" s="20" t="n">
        <x:v>0.7325780689138067</x:v>
      </x:c>
      <x:c r="K174" s="20" t="n">
        <x:v>0.37308256245662985</x:v>
      </x:c>
      <x:c r="L174" s="20" t="n">
        <x:v>0.08131674460869562</x:v>
      </x:c>
      <x:c r="M174" s="12" t="str">
        <x:v>focal</x:v>
      </x:c>
      <x:c r="N174" s="8" t="str">
        <x:v>Entrenamiento</x:v>
      </x:c>
      <x:c r="O174" s="8" t="str">
        <x:v>paper_baseline_v1</x:v>
      </x:c>
    </x:row>
    <x:row r="175" ht="23" customHeight="1">
      <x:c r="A175" s="2" t="str">
        <x:v>B: fusión intermedia</x:v>
      </x:c>
      <x:c r="B175" s="2" t="str">
        <x:v>Multiclase</x:v>
      </x:c>
      <x:c r="C175" s="17" t="n">
        <x:v>42</x:v>
      </x:c>
      <x:c r="D175" s="18" t="n">
        <x:v>0.946907509142243</x:v>
      </x:c>
      <x:c r="E175" s="18" t="n">
        <x:v>0.7565217391304347</x:v>
      </x:c>
      <x:c r="F175" s="18" t="n">
        <x:v>0.6697288884311234</x:v>
      </x:c>
      <x:c r="G175" s="18" t="n">
        <x:v>0.6697288884311234</x:v>
      </x:c>
      <x:c r="H175" s="18" t="n">
        <x:v>0.6441757934845492</x:v>
      </x:c>
      <x:c r="I175" s="18" t="n">
        <x:v>0.6522315885648869</x:v>
      </x:c>
      <x:c r="J175" s="18" t="n">
        <x:v>0.7173201621482393</x:v>
      </x:c>
      <x:c r="K175" s="18" t="n">
        <x:v>0.3709431308280335</x:v>
      </x:c>
      <x:c r="L175" s="18" t="n">
        <x:v>0.1284622845217391</x:v>
      </x:c>
      <x:c r="M175" s="11" t="str">
        <x:v>focal</x:v>
      </x:c>
      <x:c r="N175" s="2" t="str">
        <x:v>Entrenamiento</x:v>
      </x:c>
      <x:c r="O175" s="2" t="str">
        <x:v>paper_baseline_v1</x:v>
      </x:c>
    </x:row>
    <x:row r="176" ht="23" customHeight="1">
      <x:c r="A176" s="8" t="str">
        <x:v>B: fusión intermedia</x:v>
      </x:c>
      <x:c r="B176" s="8" t="str">
        <x:v>Multiclase</x:v>
      </x:c>
      <x:c r="C176" s="19" t="n">
        <x:v>123</x:v>
      </x:c>
      <x:c r="D176" s="20" t="n">
        <x:v>0.9340258316050255</x:v>
      </x:c>
      <x:c r="E176" s="20" t="n">
        <x:v>0.7260869565217392</x:v>
      </x:c>
      <x:c r="F176" s="20" t="n">
        <x:v>0.7643530331685876</x:v>
      </x:c>
      <x:c r="G176" s="20" t="n">
        <x:v>0.7643530331685876</x:v>
      </x:c>
      <x:c r="H176" s="20" t="n">
        <x:v>0.7466333934381582</x:v>
      </x:c>
      <x:c r="I176" s="20" t="n">
        <x:v>0.7630329660932006</x:v>
      </x:c>
      <x:c r="J176" s="20" t="n">
        <x:v>0.7823399320285787</x:v>
      </x:c>
      <x:c r="K176" s="20" t="n">
        <x:v>0.35521395193628863</x:v>
      </x:c>
      <x:c r="L176" s="20" t="n">
        <x:v>0.10427333630434783</x:v>
      </x:c>
      <x:c r="M176" s="12" t="str">
        <x:v>focal</x:v>
      </x:c>
      <x:c r="N176" s="8" t="str">
        <x:v>Entrenamiento</x:v>
      </x:c>
      <x:c r="O176" s="8" t="str">
        <x:v>paper_baseline_v1</x:v>
      </x:c>
    </x:row>
    <x:row r="177" ht="23" customHeight="1">
      <x:c r="A177" s="2" t="str">
        <x:v>B: fusión intermedia</x:v>
      </x:c>
      <x:c r="B177" s="2" t="str">
        <x:v>Multiclase</x:v>
      </x:c>
      <x:c r="C177" s="17" t="n">
        <x:v>456</x:v>
      </x:c>
      <x:c r="D177" s="18" t="n">
        <x:v>0.928950254511734</x:v>
      </x:c>
      <x:c r="E177" s="18" t="n">
        <x:v>0.7391304347826086</x:v>
      </x:c>
      <x:c r="F177" s="18" t="n">
        <x:v>0.6989353756402825</x:v>
      </x:c>
      <x:c r="G177" s="18" t="n">
        <x:v>0.6989353756402825</x:v>
      </x:c>
      <x:c r="H177" s="18" t="n">
        <x:v>0.6693300447286267</x:v>
      </x:c>
      <x:c r="I177" s="18" t="n">
        <x:v>0.6709019835885508</x:v>
      </x:c>
      <x:c r="J177" s="18" t="n">
        <x:v>0.7109621686767618</x:v>
      </x:c>
      <x:c r="K177" s="18" t="n">
        <x:v>0.3911378953550489</x:v>
      </x:c>
      <x:c r="L177" s="18" t="n">
        <x:v>0.12810618339130433</x:v>
      </x:c>
      <x:c r="M177" s="11" t="str">
        <x:v>focal</x:v>
      </x:c>
      <x:c r="N177" s="2" t="str">
        <x:v>Entrenamiento</x:v>
      </x:c>
      <x:c r="O177" s="2" t="str">
        <x:v>paper_baseline_v1</x:v>
      </x:c>
    </x:row>
    <x:row r="178" ht="23" customHeight="1">
      <x:c r="A178" s="8" t="str">
        <x:v>B: fusión intermedia</x:v>
      </x:c>
      <x:c r="B178" s="8" t="str">
        <x:v>Multiclase</x:v>
      </x:c>
      <x:c r="C178" s="19" t="n">
        <x:v>789</x:v>
      </x:c>
      <x:c r="D178" s="20" t="n">
        <x:v>0.9396336632125729</x:v>
      </x:c>
      <x:c r="E178" s="20" t="n">
        <x:v>0.7434782608695653</x:v>
      </x:c>
      <x:c r="F178" s="20" t="n">
        <x:v>0.7517561311955688</x:v>
      </x:c>
      <x:c r="G178" s="20" t="n">
        <x:v>0.7517561311955688</x:v>
      </x:c>
      <x:c r="H178" s="20" t="n">
        <x:v>0.7358496484388338</x:v>
      </x:c>
      <x:c r="I178" s="20" t="n">
        <x:v>0.7532747189710768</x:v>
      </x:c>
      <x:c r="J178" s="20" t="n">
        <x:v>0.8146349182206185</x:v>
      </x:c>
      <x:c r="K178" s="20" t="n">
        <x:v>0.38513082534902293</x:v>
      </x:c>
      <x:c r="L178" s="20" t="n">
        <x:v>0.0828517030869565</x:v>
      </x:c>
      <x:c r="M178" s="12" t="str">
        <x:v>focal</x:v>
      </x:c>
      <x:c r="N178" s="8" t="str">
        <x:v>Entrenamiento</x:v>
      </x:c>
      <x:c r="O178" s="8" t="str">
        <x:v>paper_baseline_v1</x:v>
      </x:c>
    </x:row>
    <x:row r="179" ht="23" customHeight="1">
      <x:c r="A179" s="2" t="str">
        <x:v>B: fusión intermedia</x:v>
      </x:c>
      <x:c r="B179" s="2" t="str">
        <x:v>Multiclase</x:v>
      </x:c>
      <x:c r="C179" s="17" t="n">
        <x:v>2024</x:v>
      </x:c>
      <x:c r="D179" s="18" t="n">
        <x:v>0.9418379249177379</x:v>
      </x:c>
      <x:c r="E179" s="18" t="n">
        <x:v>0.7043478260869566</x:v>
      </x:c>
      <x:c r="F179" s="18" t="n">
        <x:v>0.7024377501227757</x:v>
      </x:c>
      <x:c r="G179" s="18" t="n">
        <x:v>0.7024377501227757</x:v>
      </x:c>
      <x:c r="H179" s="18" t="n">
        <x:v>0.6458009891795798</x:v>
      </x:c>
      <x:c r="I179" s="18" t="n">
        <x:v>0.6657546471638153</x:v>
      </x:c>
      <x:c r="J179" s="18" t="n">
        <x:v>0.6787839578976879</x:v>
      </x:c>
      <x:c r="K179" s="18" t="n">
        <x:v>0.41302029679019236</x:v>
      </x:c>
      <x:c r="L179" s="18" t="n">
        <x:v>0.09115898356521739</x:v>
      </x:c>
      <x:c r="M179" s="11" t="str">
        <x:v>focal</x:v>
      </x:c>
      <x:c r="N179" s="2" t="str">
        <x:v>Entrenamiento</x:v>
      </x:c>
      <x:c r="O179" s="2" t="str">
        <x:v>paper_baseline_v1</x:v>
      </x:c>
    </x:row>
    <x:row r="180" ht="23" customHeight="1">
      <x:c r="A180" s="8" t="str">
        <x:v>B solo metadata, misma capacidad</x:v>
      </x:c>
      <x:c r="B180" s="8" t="str">
        <x:v>Multiclase</x:v>
      </x:c>
      <x:c r="C180" s="19" t="n">
        <x:v>42</x:v>
      </x:c>
      <x:c r="D180" s="20" t="n">
        <x:v>0.8902355931691041</x:v>
      </x:c>
      <x:c r="E180" s="20" t="n">
        <x:v>0.6260869565217392</x:v>
      </x:c>
      <x:c r="F180" s="20" t="n">
        <x:v>0.5209522379006878</x:v>
      </x:c>
      <x:c r="G180" s="20" t="n">
        <x:v>0.5209522379006878</x:v>
      </x:c>
      <x:c r="H180" s="20" t="n">
        <x:v>0.49667625854493935</x:v>
      </x:c>
      <x:c r="I180" s="20" t="n">
        <x:v>0.513659897607266</x:v>
      </x:c>
      <x:c r="J180" s="20" t="n">
        <x:v>0.5577298026949151</x:v>
      </x:c>
      <x:c r="K180" s="20" t="n">
        <x:v>0.5433327526864976</x:v>
      </x:c>
      <x:c r="L180" s="20" t="n">
        <x:v>0.1499239604782609</x:v>
      </x:c>
      <x:c r="M180" s="12" t="str">
        <x:v>focal</x:v>
      </x:c>
      <x:c r="N180" s="8" t="str">
        <x:v>Entrenamiento</x:v>
      </x:c>
      <x:c r="O180" s="8" t="str">
        <x:v>thesis_completion_v1</x:v>
      </x:c>
    </x:row>
    <x:row r="181" ht="23" customHeight="1">
      <x:c r="A181" s="2" t="str">
        <x:v>B solo metadata, misma capacidad</x:v>
      </x:c>
      <x:c r="B181" s="2" t="str">
        <x:v>Multiclase</x:v>
      </x:c>
      <x:c r="C181" s="17" t="n">
        <x:v>123</x:v>
      </x:c>
      <x:c r="D181" s="18" t="n">
        <x:v>0.9022878402853726</x:v>
      </x:c>
      <x:c r="E181" s="18" t="n">
        <x:v>0.6434782608695652</x:v>
      </x:c>
      <x:c r="F181" s="18" t="n">
        <x:v>0.5753543353121736</x:v>
      </x:c>
      <x:c r="G181" s="18" t="n">
        <x:v>0.5753543353121736</x:v>
      </x:c>
      <x:c r="H181" s="18" t="n">
        <x:v>0.5670879067225266</x:v>
      </x:c>
      <x:c r="I181" s="18" t="n">
        <x:v>0.572243726422831</x:v>
      </x:c>
      <x:c r="J181" s="18" t="n">
        <x:v>0.6651001954070558</x:v>
      </x:c>
      <x:c r="K181" s="18" t="n">
        <x:v>0.46115492102331507</x:v>
      </x:c>
      <x:c r="L181" s="18" t="n">
        <x:v>0.10440458100000002</x:v>
      </x:c>
      <x:c r="M181" s="11" t="str">
        <x:v>focal</x:v>
      </x:c>
      <x:c r="N181" s="2" t="str">
        <x:v>Entrenamiento</x:v>
      </x:c>
      <x:c r="O181" s="2" t="str">
        <x:v>thesis_completion_v1</x:v>
      </x:c>
    </x:row>
    <x:row r="182" ht="23" customHeight="1">
      <x:c r="A182" s="8" t="str">
        <x:v>B solo metadata, misma capacidad</x:v>
      </x:c>
      <x:c r="B182" s="8" t="str">
        <x:v>Multiclase</x:v>
      </x:c>
      <x:c r="C182" s="19" t="n">
        <x:v>456</x:v>
      </x:c>
      <x:c r="D182" s="20" t="n">
        <x:v>0.8530306393608154</x:v>
      </x:c>
      <x:c r="E182" s="20" t="n">
        <x:v>0.44782608695652176</x:v>
      </x:c>
      <x:c r="F182" s="20" t="n">
        <x:v>0.4606872994331113</x:v>
      </x:c>
      <x:c r="G182" s="20" t="n">
        <x:v>0.4606872994331113</x:v>
      </x:c>
      <x:c r="H182" s="20" t="n">
        <x:v>0.3632649524065023</x:v>
      </x:c>
      <x:c r="I182" s="20" t="n">
        <x:v>0.5056076484647912</x:v>
      </x:c>
      <x:c r="J182" s="20" t="n">
        <x:v>0.512878932652114</x:v>
      </x:c>
      <x:c r="K182" s="20" t="n">
        <x:v>0.6477458695819046</x:v>
      </x:c>
      <x:c r="L182" s="20" t="n">
        <x:v>0.13872164369565218</x:v>
      </x:c>
      <x:c r="M182" s="12" t="str">
        <x:v>focal</x:v>
      </x:c>
      <x:c r="N182" s="8" t="str">
        <x:v>Entrenamiento</x:v>
      </x:c>
      <x:c r="O182" s="8" t="str">
        <x:v>thesis_completion_v1</x:v>
      </x:c>
    </x:row>
    <x:row r="183" ht="23" customHeight="1">
      <x:c r="A183" s="2" t="str">
        <x:v>B solo metadata, misma capacidad</x:v>
      </x:c>
      <x:c r="B183" s="2" t="str">
        <x:v>Multiclase</x:v>
      </x:c>
      <x:c r="C183" s="17" t="n">
        <x:v>789</x:v>
      </x:c>
      <x:c r="D183" s="18" t="n">
        <x:v>0.9078771356699291</x:v>
      </x:c>
      <x:c r="E183" s="18" t="n">
        <x:v>0.5956521739130435</x:v>
      </x:c>
      <x:c r="F183" s="18" t="n">
        <x:v>0.6169820956500841</x:v>
      </x:c>
      <x:c r="G183" s="18" t="n">
        <x:v>0.6169820956500841</x:v>
      </x:c>
      <x:c r="H183" s="18" t="n">
        <x:v>0.5588095931845931</x:v>
      </x:c>
      <x:c r="I183" s="18" t="n">
        <x:v>0.5850519208828658</x:v>
      </x:c>
      <x:c r="J183" s="18" t="n">
        <x:v>0.6736828102417793</x:v>
      </x:c>
      <x:c r="K183" s="18" t="n">
        <x:v>0.5255735072251938</x:v>
      </x:c>
      <x:c r="L183" s="18" t="n">
        <x:v>0.04708776608695651</x:v>
      </x:c>
      <x:c r="M183" s="11" t="str">
        <x:v>focal</x:v>
      </x:c>
      <x:c r="N183" s="2" t="str">
        <x:v>Entrenamiento</x:v>
      </x:c>
      <x:c r="O183" s="2" t="str">
        <x:v>thesis_completion_v1</x:v>
      </x:c>
    </x:row>
    <x:row r="184" ht="23" customHeight="1">
      <x:c r="A184" s="8" t="str">
        <x:v>B solo metadata, misma capacidad</x:v>
      </x:c>
      <x:c r="B184" s="8" t="str">
        <x:v>Multiclase</x:v>
      </x:c>
      <x:c r="C184" s="19" t="n">
        <x:v>2024</x:v>
      </x:c>
      <x:c r="D184" s="20" t="n">
        <x:v>0.9002557634545507</x:v>
      </x:c>
      <x:c r="E184" s="20" t="n">
        <x:v>0.6086956521739131</x:v>
      </x:c>
      <x:c r="F184" s="20" t="n">
        <x:v>0.6003633545202037</x:v>
      </x:c>
      <x:c r="G184" s="20" t="n">
        <x:v>0.6003633545202037</x:v>
      </x:c>
      <x:c r="H184" s="20" t="n">
        <x:v>0.533491941153832</x:v>
      </x:c>
      <x:c r="I184" s="20" t="n">
        <x:v>0.5488404927259417</x:v>
      </x:c>
      <x:c r="J184" s="20" t="n">
        <x:v>0.550083043906233</x:v>
      </x:c>
      <x:c r="K184" s="20" t="n">
        <x:v>0.5357214247581666</x:v>
      </x:c>
      <x:c r="L184" s="20" t="n">
        <x:v>0.1139330573043479</x:v>
      </x:c>
      <x:c r="M184" s="12" t="str">
        <x:v>focal</x:v>
      </x:c>
      <x:c r="N184" s="8" t="str">
        <x:v>Entrenamiento</x:v>
      </x:c>
      <x:c r="O184" s="8" t="str">
        <x:v>thesis_completion_v1</x:v>
      </x:c>
    </x:row>
    <x:row r="185" ht="23" customHeight="1">
      <x:c r="A185" s="2" t="str">
        <x:v>B solo imágenes, misma capacidad</x:v>
      </x:c>
      <x:c r="B185" s="2" t="str">
        <x:v>Multiclase</x:v>
      </x:c>
      <x:c r="C185" s="17" t="n">
        <x:v>42</x:v>
      </x:c>
      <x:c r="D185" s="18" t="n">
        <x:v>0.9221561428524042</x:v>
      </x:c>
      <x:c r="E185" s="18" t="n">
        <x:v>0.5521739130434783</x:v>
      </x:c>
      <x:c r="F185" s="18" t="n">
        <x:v>0.6093774676417071</x:v>
      </x:c>
      <x:c r="G185" s="18" t="n">
        <x:v>0.6093774676417071</x:v>
      </x:c>
      <x:c r="H185" s="18" t="n">
        <x:v>0.537589980600251</x:v>
      </x:c>
      <x:c r="I185" s="18" t="n">
        <x:v>0.578304709181344</x:v>
      </x:c>
      <x:c r="J185" s="18" t="n">
        <x:v>0.6994129279858016</x:v>
      </x:c>
      <x:c r="K185" s="18" t="n">
        <x:v>0.5336607992156794</x:v>
      </x:c>
      <x:c r="L185" s="18" t="n">
        <x:v>0.052609865130434794</x:v>
      </x:c>
      <x:c r="M185" s="11" t="str">
        <x:v>focal</x:v>
      </x:c>
      <x:c r="N185" s="2" t="str">
        <x:v>Entrenamiento</x:v>
      </x:c>
      <x:c r="O185" s="2" t="str">
        <x:v>thesis_completion_v1</x:v>
      </x:c>
    </x:row>
    <x:row r="186" ht="23" customHeight="1">
      <x:c r="A186" s="8" t="str">
        <x:v>B solo imágenes, misma capacidad</x:v>
      </x:c>
      <x:c r="B186" s="8" t="str">
        <x:v>Multiclase</x:v>
      </x:c>
      <x:c r="C186" s="19" t="n">
        <x:v>123</x:v>
      </x:c>
      <x:c r="D186" s="20" t="n">
        <x:v>0.9225917240713587</x:v>
      </x:c>
      <x:c r="E186" s="20" t="n">
        <x:v>0.7217391304347827</x:v>
      </x:c>
      <x:c r="F186" s="20" t="n">
        <x:v>0.683828533513653</x:v>
      </x:c>
      <x:c r="G186" s="20" t="n">
        <x:v>0.683828533513653</x:v>
      </x:c>
      <x:c r="H186" s="20" t="n">
        <x:v>0.6830205427047371</x:v>
      </x:c>
      <x:c r="I186" s="20" t="n">
        <x:v>0.7122327480948171</x:v>
      </x:c>
      <x:c r="J186" s="20" t="n">
        <x:v>0.7279539024102473</x:v>
      </x:c>
      <x:c r="K186" s="20" t="n">
        <x:v>0.42250451795567173</x:v>
      </x:c>
      <x:c r="L186" s="20" t="n">
        <x:v>0.14797074321739137</x:v>
      </x:c>
      <x:c r="M186" s="12" t="str">
        <x:v>focal</x:v>
      </x:c>
      <x:c r="N186" s="8" t="str">
        <x:v>Entrenamiento</x:v>
      </x:c>
      <x:c r="O186" s="8" t="str">
        <x:v>thesis_completion_v1</x:v>
      </x:c>
    </x:row>
    <x:row r="187" ht="23" customHeight="1">
      <x:c r="A187" s="2" t="str">
        <x:v>B solo imágenes, misma capacidad</x:v>
      </x:c>
      <x:c r="B187" s="2" t="str">
        <x:v>Multiclase</x:v>
      </x:c>
      <x:c r="C187" s="17" t="n">
        <x:v>456</x:v>
      </x:c>
      <x:c r="D187" s="18" t="n">
        <x:v>0.9200547456634491</x:v>
      </x:c>
      <x:c r="E187" s="18" t="n">
        <x:v>0.6826086956521739</x:v>
      </x:c>
      <x:c r="F187" s="18" t="n">
        <x:v>0.648605691976382</x:v>
      </x:c>
      <x:c r="G187" s="18" t="n">
        <x:v>0.648605691976382</x:v>
      </x:c>
      <x:c r="H187" s="18" t="n">
        <x:v>0.634654362403723</x:v>
      </x:c>
      <x:c r="I187" s="18" t="n">
        <x:v>0.6392525675714992</x:v>
      </x:c>
      <x:c r="J187" s="18" t="n">
        <x:v>0.6884195768513482</x:v>
      </x:c>
      <x:c r="K187" s="18" t="n">
        <x:v>0.43743706087879364</x:v>
      </x:c>
      <x:c r="L187" s="18" t="n">
        <x:v>0.0751245358260869</x:v>
      </x:c>
      <x:c r="M187" s="11" t="str">
        <x:v>focal</x:v>
      </x:c>
      <x:c r="N187" s="2" t="str">
        <x:v>Entrenamiento</x:v>
      </x:c>
      <x:c r="O187" s="2" t="str">
        <x:v>thesis_completion_v1</x:v>
      </x:c>
    </x:row>
    <x:row r="188" ht="23" customHeight="1">
      <x:c r="A188" s="8" t="str">
        <x:v>B solo imágenes, misma capacidad</x:v>
      </x:c>
      <x:c r="B188" s="8" t="str">
        <x:v>Multiclase</x:v>
      </x:c>
      <x:c r="C188" s="19" t="n">
        <x:v>789</x:v>
      </x:c>
      <x:c r="D188" s="20" t="n">
        <x:v>0.9074351217827217</x:v>
      </x:c>
      <x:c r="E188" s="20" t="n">
        <x:v>0.6391304347826087</x:v>
      </x:c>
      <x:c r="F188" s="20" t="n">
        <x:v>0.5854097286595484</x:v>
      </x:c>
      <x:c r="G188" s="20" t="n">
        <x:v>0.5854097286595484</x:v>
      </x:c>
      <x:c r="H188" s="20" t="n">
        <x:v>0.5908302117231133</x:v>
      </x:c>
      <x:c r="I188" s="20" t="n">
        <x:v>0.6298807755469072</x:v>
      </x:c>
      <x:c r="J188" s="20" t="n">
        <x:v>0.6789254157778988</x:v>
      </x:c>
      <x:c r="K188" s="20" t="n">
        <x:v>0.4925586587745932</x:v>
      </x:c>
      <x:c r="L188" s="20" t="n">
        <x:v>0.11690244939130437</x:v>
      </x:c>
      <x:c r="M188" s="12" t="str">
        <x:v>focal</x:v>
      </x:c>
      <x:c r="N188" s="8" t="str">
        <x:v>Entrenamiento</x:v>
      </x:c>
      <x:c r="O188" s="8" t="str">
        <x:v>thesis_completion_v1</x:v>
      </x:c>
    </x:row>
    <x:row r="189" ht="23" customHeight="1">
      <x:c r="A189" s="2" t="str">
        <x:v>B solo imágenes, misma capacidad</x:v>
      </x:c>
      <x:c r="B189" s="2" t="str">
        <x:v>Multiclase</x:v>
      </x:c>
      <x:c r="C189" s="17" t="n">
        <x:v>2024</x:v>
      </x:c>
      <x:c r="D189" s="18" t="n">
        <x:v>0.9293161687359844</x:v>
      </x:c>
      <x:c r="E189" s="18" t="n">
        <x:v>0.6869565217391305</x:v>
      </x:c>
      <x:c r="F189" s="18" t="n">
        <x:v>0.6442965522624836</x:v>
      </x:c>
      <x:c r="G189" s="18" t="n">
        <x:v>0.6442965522624836</x:v>
      </x:c>
      <x:c r="H189" s="18" t="n">
        <x:v>0.644393461578892</x:v>
      </x:c>
      <x:c r="I189" s="18" t="n">
        <x:v>0.6571732093471224</x:v>
      </x:c>
      <x:c r="J189" s="18" t="n">
        <x:v>0.7396304199964598</x:v>
      </x:c>
      <x:c r="K189" s="18" t="n">
        <x:v>0.40237056112021125</x:v>
      </x:c>
      <x:c r="L189" s="18" t="n">
        <x:v>0.07074111895652171</x:v>
      </x:c>
      <x:c r="M189" s="11" t="str">
        <x:v>focal</x:v>
      </x:c>
      <x:c r="N189" s="2" t="str">
        <x:v>Entrenamiento</x:v>
      </x:c>
      <x:c r="O189" s="2" t="str">
        <x:v>thesis_completion_v1</x:v>
      </x:c>
    </x:row>
  </x:sheetData>
  <x:pageMargins left="0.7" right="0.7" top="0.75" bottom="0.75" header="0.3" footer="0.3"/>
</x:worksheet>
</file>